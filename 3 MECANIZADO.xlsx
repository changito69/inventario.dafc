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bookViews>
  <sheets>
    <sheet name="AULA" sheetId="1" r:id="rId1"/>
    <sheet name="TALLER "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<sst xmlns="http://schemas.openxmlformats.org/spreadsheetml/2006/main" count="562" uniqueCount="164">
  <si>
    <r>
      <rPr>
        <b/>
        <sz val="22"/>
        <color theme="1"/>
        <rFont val="Calibri"/>
        <charset val="134"/>
        <scheme val="minor"/>
      </rPr>
      <t>UNIDAD EDUCATIVA DR. ANDRÉS F. CORDOVA</t>
    </r>
    <r>
      <rPr>
        <sz val="22"/>
        <color theme="1"/>
        <rFont val="Calibri"/>
        <charset val="134"/>
        <scheme val="minor"/>
      </rPr>
      <t xml:space="preserve">
AC.MIN. 1748 DEL 14 -06-1973 / REG.OF. 407 DEL 08—1973
“Desde 1973 generando el progreso intelectual de su pueblo”
La Concordia – Ecuador</t>
    </r>
  </si>
  <si>
    <t>ACTA ENTREGA RECEPCIÓN DE BIENES – CUSTODIO FINAL</t>
  </si>
  <si>
    <r>
      <t xml:space="preserve">En la ciudad de La Concordia, a los 26 días del mes  de Diciembre del 2025, en la dependencias de  la Unidad Educativa Andres F Cordova ubicada en el cantón La Concordia,  comparecen por una parte la MSc. Monica Piedad Rivera Ortega RECTORA de la  UNIDAD EDUCATIVA ANDRÉS F. CORDOVA quien hace  la </t>
    </r>
    <r>
      <rPr>
        <b/>
        <sz val="11"/>
        <color theme="1"/>
        <rFont val="Calibri"/>
        <charset val="134"/>
        <scheme val="minor"/>
      </rPr>
      <t xml:space="preserve">ENTREGA, </t>
    </r>
    <r>
      <rPr>
        <sz val="11"/>
        <color theme="1"/>
        <rFont val="Calibri"/>
        <charset val="134"/>
        <scheme val="minor"/>
      </rPr>
      <t xml:space="preserve">y  por otra parte el docente Segundo Npoleon Fuentes Prado </t>
    </r>
    <r>
      <rPr>
        <sz val="11"/>
        <color rgb="FFFF0000"/>
        <rFont val="Calibri"/>
        <charset val="134"/>
        <scheme val="minor"/>
      </rPr>
      <t xml:space="preserve"> </t>
    </r>
    <r>
      <rPr>
        <sz val="11"/>
        <color theme="1"/>
        <rFont val="Calibri"/>
        <charset val="134"/>
        <scheme val="minor"/>
      </rPr>
      <t xml:space="preserve">quien </t>
    </r>
    <r>
      <rPr>
        <b/>
        <sz val="11"/>
        <color theme="1"/>
        <rFont val="Calibri"/>
        <charset val="134"/>
        <scheme val="minor"/>
      </rPr>
      <t>RECIBE</t>
    </r>
    <r>
      <rPr>
        <sz val="11"/>
        <color theme="1"/>
        <rFont val="Calibri"/>
        <charset val="134"/>
        <scheme val="minor"/>
      </rPr>
      <t xml:space="preserve"> los bienes como  </t>
    </r>
    <r>
      <rPr>
        <b/>
        <sz val="11"/>
        <color theme="1"/>
        <rFont val="Calibri"/>
        <charset val="134"/>
        <scheme val="minor"/>
      </rPr>
      <t xml:space="preserve">CUSTODIO FINAL, </t>
    </r>
    <r>
      <rPr>
        <sz val="11"/>
        <color theme="1"/>
        <rFont val="Calibri"/>
        <charset val="134"/>
        <scheme val="minor"/>
      </rPr>
      <t xml:space="preserve"> con el fin de realizar el </t>
    </r>
    <r>
      <rPr>
        <b/>
        <sz val="11"/>
        <color theme="1"/>
        <rFont val="Calibri"/>
        <charset val="134"/>
        <scheme val="minor"/>
      </rPr>
      <t xml:space="preserve">ACTA ENTREGA – RECEPCIÓN </t>
    </r>
    <r>
      <rPr>
        <sz val="11"/>
        <color theme="1"/>
        <rFont val="Calibri"/>
        <charset val="134"/>
        <scheme val="minor"/>
      </rPr>
      <t>de</t>
    </r>
    <r>
      <rPr>
        <b/>
        <sz val="11"/>
        <color theme="1"/>
        <rFont val="Calibri"/>
        <charset val="134"/>
        <scheme val="minor"/>
      </rPr>
      <t xml:space="preserve"> </t>
    </r>
    <r>
      <rPr>
        <sz val="11"/>
        <color theme="1"/>
        <rFont val="Calibri"/>
        <charset val="134"/>
        <scheme val="minor"/>
      </rPr>
      <t>los bienes ubicados en el aula numero 20</t>
    </r>
    <r>
      <rPr>
        <sz val="11"/>
        <color rgb="FFFF0000"/>
        <rFont val="Calibri"/>
        <charset val="134"/>
        <scheme val="minor"/>
      </rPr>
      <t xml:space="preserve"> </t>
    </r>
    <r>
      <rPr>
        <sz val="11"/>
        <color theme="1"/>
        <rFont val="Calibri"/>
        <charset val="134"/>
        <scheme val="minor"/>
      </rPr>
      <t>correspondiente al  Primer</t>
    </r>
    <r>
      <rPr>
        <sz val="11"/>
        <color rgb="FFFF0000"/>
        <rFont val="Calibri"/>
        <charset val="134"/>
        <scheme val="minor"/>
      </rPr>
      <t xml:space="preserve"> </t>
    </r>
    <r>
      <rPr>
        <sz val="11"/>
        <color theme="1"/>
        <rFont val="Calibri"/>
        <charset val="134"/>
        <scheme val="minor"/>
      </rPr>
      <t>año de Bachillerato</t>
    </r>
    <r>
      <rPr>
        <sz val="11"/>
        <color rgb="FFFF0000"/>
        <rFont val="Calibri"/>
        <charset val="134"/>
        <scheme val="minor"/>
      </rPr>
      <t xml:space="preserve"> </t>
    </r>
    <r>
      <rPr>
        <sz val="11"/>
        <color theme="1"/>
        <rFont val="Calibri"/>
        <charset val="134"/>
        <scheme val="minor"/>
      </rPr>
      <t>de la especialidad</t>
    </r>
    <r>
      <rPr>
        <sz val="11"/>
        <rFont val="Calibri"/>
        <charset val="134"/>
        <scheme val="minor"/>
      </rPr>
      <t xml:space="preserve"> Electromecanica Automotriz  </t>
    </r>
    <r>
      <rPr>
        <sz val="11"/>
        <color theme="1"/>
        <rFont val="Calibri"/>
        <charset val="134"/>
        <scheme val="minor"/>
      </rPr>
      <t>PARALELO "A"  a continuación se detallan:</t>
    </r>
  </si>
  <si>
    <t>N°</t>
  </si>
  <si>
    <t>BIEN (BLD - BCA)</t>
  </si>
  <si>
    <t xml:space="preserve"> DESCRIPCIÓN DEL BIEN</t>
  </si>
  <si>
    <t>CANT.</t>
  </si>
  <si>
    <t>SERIE</t>
  </si>
  <si>
    <t>MODELO</t>
  </si>
  <si>
    <t>MARCA</t>
  </si>
  <si>
    <t>COLOR</t>
  </si>
  <si>
    <t>MATERIAL</t>
  </si>
  <si>
    <t>V/UNIT.</t>
  </si>
  <si>
    <t>V/TOTAL</t>
  </si>
  <si>
    <t>ESTADO</t>
  </si>
  <si>
    <t>OBSERVACIÓN</t>
  </si>
  <si>
    <t>BCA</t>
  </si>
  <si>
    <t>PIZARRA ESTUDIANTIL</t>
  </si>
  <si>
    <t>S/S</t>
  </si>
  <si>
    <t>S/M</t>
  </si>
  <si>
    <t>BLANCO</t>
  </si>
  <si>
    <t>MADERA/FORMICA/METAL</t>
  </si>
  <si>
    <t xml:space="preserve">REGULAR </t>
  </si>
  <si>
    <t>BLD</t>
  </si>
  <si>
    <t>SILLA PARA DOCENTE</t>
  </si>
  <si>
    <t>NEGRO</t>
  </si>
  <si>
    <t>METAL MADERA CUERINA</t>
  </si>
  <si>
    <t>BUENO</t>
  </si>
  <si>
    <t>ESCRITORIO TIPO 9</t>
  </si>
  <si>
    <t>VARIOS COLORES</t>
  </si>
  <si>
    <t>AGLOMEARDO/METAL</t>
  </si>
  <si>
    <t>BCD</t>
  </si>
  <si>
    <t>PUPITRE UNIPERSONAL</t>
  </si>
  <si>
    <t xml:space="preserve">VARIOS </t>
  </si>
  <si>
    <t>REGULAR</t>
  </si>
  <si>
    <t>MALO</t>
  </si>
  <si>
    <t>Se deja constancia que el custodio final que recibe los bienes se encargará de velar por el buen uso, conservación, administración, utilización,  y  que las condiciones sean adecuadas, que no se encuentren en riesgo de deterioro de acuerdo con lo que estipula los Art.  47,49,20,21 y 44 literal c) d) del Reglamento General para la Administración, Utilización y Control de Bienes y Existencia del Sector Público y  las Normas de Control Interno 406-07, 406-08 y 406-11.</t>
  </si>
  <si>
    <t>Para constancia de lo actuado y en fe de conformidad y aceptación, suscriben la presente Acta Entrega -Recepción en tres ejemplares de igual tenor y efecto las personal que interviene</t>
  </si>
  <si>
    <t>ENTREGUE CONFORME:</t>
  </si>
  <si>
    <t>RECIBE CONFORME:</t>
  </si>
  <si>
    <t>MSc. Monica Rivera Ortega</t>
  </si>
  <si>
    <t>Napoleón Fuentes.</t>
  </si>
  <si>
    <t xml:space="preserve">RECTORA DE LA UNIDAD EDUCATIVA </t>
  </si>
  <si>
    <t xml:space="preserve">DOCENTE </t>
  </si>
  <si>
    <r>
      <rPr>
        <sz val="11"/>
        <color theme="1"/>
        <rFont val="Calibri"/>
        <charset val="134"/>
        <scheme val="minor"/>
      </rPr>
      <t xml:space="preserve">En la ciudad de La Concordia, a los 26 días del mes  de Diciembre del 2025, en la dependencias de  la Unidad Educativa Andres F Cordova ubicada en el cantón La Concordia,  comparecen por una parte la MSc. Monica Piedad Rivera Ortega RECTORA de la  UNIDAD EDUCATIVA ANDRÉS F. CORDOVA quien hace  la </t>
    </r>
    <r>
      <rPr>
        <b/>
        <sz val="11"/>
        <color theme="1"/>
        <rFont val="Calibri"/>
        <charset val="134"/>
        <scheme val="minor"/>
      </rPr>
      <t xml:space="preserve">ENTREGA, </t>
    </r>
    <r>
      <rPr>
        <sz val="11"/>
        <color theme="1"/>
        <rFont val="Calibri"/>
        <charset val="134"/>
        <scheme val="minor"/>
      </rPr>
      <t>y  por otra parte el docente Patricio Pilatuña Suarez</t>
    </r>
    <r>
      <rPr>
        <sz val="11"/>
        <color rgb="FFFF0000"/>
        <rFont val="Calibri"/>
        <charset val="134"/>
        <scheme val="minor"/>
      </rPr>
      <t xml:space="preserve"> </t>
    </r>
    <r>
      <rPr>
        <sz val="11"/>
        <color theme="1"/>
        <rFont val="Calibri"/>
        <charset val="134"/>
        <scheme val="minor"/>
      </rPr>
      <t xml:space="preserve">quien </t>
    </r>
    <r>
      <rPr>
        <b/>
        <sz val="11"/>
        <color theme="1"/>
        <rFont val="Calibri"/>
        <charset val="134"/>
        <scheme val="minor"/>
      </rPr>
      <t>RECIBE</t>
    </r>
    <r>
      <rPr>
        <sz val="11"/>
        <color theme="1"/>
        <rFont val="Calibri"/>
        <charset val="134"/>
        <scheme val="minor"/>
      </rPr>
      <t xml:space="preserve"> los bienes como  </t>
    </r>
    <r>
      <rPr>
        <b/>
        <sz val="11"/>
        <color theme="1"/>
        <rFont val="Calibri"/>
        <charset val="134"/>
        <scheme val="minor"/>
      </rPr>
      <t xml:space="preserve">CUSTODIO FINAL, </t>
    </r>
    <r>
      <rPr>
        <sz val="11"/>
        <color theme="1"/>
        <rFont val="Calibri"/>
        <charset val="134"/>
        <scheme val="minor"/>
      </rPr>
      <t xml:space="preserve"> con el fin de realizar el </t>
    </r>
    <r>
      <rPr>
        <b/>
        <sz val="11"/>
        <color theme="1"/>
        <rFont val="Calibri"/>
        <charset val="134"/>
        <scheme val="minor"/>
      </rPr>
      <t xml:space="preserve">ACTA ENTREGA – RECEPCIÓN </t>
    </r>
    <r>
      <rPr>
        <sz val="11"/>
        <color theme="1"/>
        <rFont val="Calibri"/>
        <charset val="134"/>
        <scheme val="minor"/>
      </rPr>
      <t>de</t>
    </r>
    <r>
      <rPr>
        <b/>
        <sz val="11"/>
        <color theme="1"/>
        <rFont val="Calibri"/>
        <charset val="134"/>
        <scheme val="minor"/>
      </rPr>
      <t xml:space="preserve"> </t>
    </r>
    <r>
      <rPr>
        <sz val="11"/>
        <color theme="1"/>
        <rFont val="Calibri"/>
        <charset val="134"/>
        <scheme val="minor"/>
      </rPr>
      <t>los bienes ubicados en el aula numero 9</t>
    </r>
    <r>
      <rPr>
        <sz val="11"/>
        <color rgb="FFFF0000"/>
        <rFont val="Calibri"/>
        <charset val="134"/>
        <scheme val="minor"/>
      </rPr>
      <t xml:space="preserve"> </t>
    </r>
    <r>
      <rPr>
        <sz val="11"/>
        <color theme="1"/>
        <rFont val="Calibri"/>
        <charset val="134"/>
        <scheme val="minor"/>
      </rPr>
      <t>correspondiente al  Tercer</t>
    </r>
    <r>
      <rPr>
        <sz val="11"/>
        <color rgb="FFFF0000"/>
        <rFont val="Calibri"/>
        <charset val="134"/>
        <scheme val="minor"/>
      </rPr>
      <t xml:space="preserve"> </t>
    </r>
    <r>
      <rPr>
        <sz val="11"/>
        <color theme="1"/>
        <rFont val="Calibri"/>
        <charset val="134"/>
        <scheme val="minor"/>
      </rPr>
      <t>año de Bachillerato</t>
    </r>
    <r>
      <rPr>
        <sz val="11"/>
        <color rgb="FFFF0000"/>
        <rFont val="Calibri"/>
        <charset val="134"/>
        <scheme val="minor"/>
      </rPr>
      <t xml:space="preserve"> </t>
    </r>
    <r>
      <rPr>
        <sz val="11"/>
        <color theme="1"/>
        <rFont val="Calibri"/>
        <charset val="134"/>
        <scheme val="minor"/>
      </rPr>
      <t>de la especialidad</t>
    </r>
    <r>
      <rPr>
        <sz val="11"/>
        <color rgb="FFFF0000"/>
        <rFont val="Calibri"/>
        <charset val="134"/>
        <scheme val="minor"/>
      </rPr>
      <t xml:space="preserve"> </t>
    </r>
    <r>
      <rPr>
        <sz val="11"/>
        <color theme="1"/>
        <rFont val="Calibri"/>
        <charset val="134"/>
        <scheme val="minor"/>
      </rPr>
      <t>Mecanizado y Construcciones Metalicas  PARALELO "A"  a continuación se detallan:</t>
    </r>
  </si>
  <si>
    <t>FECHAS</t>
  </si>
  <si>
    <t>ACTUAL</t>
  </si>
  <si>
    <t>DETALLE</t>
  </si>
  <si>
    <t xml:space="preserve">MATERIAL </t>
  </si>
  <si>
    <t>CANT</t>
  </si>
  <si>
    <t>VALOR UNITARIO</t>
  </si>
  <si>
    <t>VALOR TOTAL</t>
  </si>
  <si>
    <t>campo</t>
  </si>
  <si>
    <t>aux</t>
  </si>
  <si>
    <t>ADQUIRIDO</t>
  </si>
  <si>
    <t>DEPARTAMENTO</t>
  </si>
  <si>
    <t>Nº CEDULA</t>
  </si>
  <si>
    <t>CUSTODIO</t>
  </si>
  <si>
    <t>SOLDADORA MILLER 220V</t>
  </si>
  <si>
    <t xml:space="preserve">MILLER THUNDERBOLT </t>
  </si>
  <si>
    <t>MA023802Y</t>
  </si>
  <si>
    <t>AZUL</t>
  </si>
  <si>
    <t xml:space="preserve">METALICA </t>
  </si>
  <si>
    <t>Conferido por fusión</t>
  </si>
  <si>
    <t>TALLER 1</t>
  </si>
  <si>
    <t>0801387267</t>
  </si>
  <si>
    <t>MSc. Cusme Marquez Pedro Simón</t>
  </si>
  <si>
    <t>SOLDADORA LINCOLN  ELECTRICA 110- 220 V</t>
  </si>
  <si>
    <t>AC-225GLM (50229)</t>
  </si>
  <si>
    <t>ROJO</t>
  </si>
  <si>
    <t>AC-225GLM</t>
  </si>
  <si>
    <t>SOLDADORA BPM 100</t>
  </si>
  <si>
    <t>BPM</t>
  </si>
  <si>
    <t>X1C1004B106</t>
  </si>
  <si>
    <t>MALA</t>
  </si>
  <si>
    <t>SOLDADORA</t>
  </si>
  <si>
    <t>BOMBAZZI</t>
  </si>
  <si>
    <t>NM300 TURBO</t>
  </si>
  <si>
    <t>PORTEN</t>
  </si>
  <si>
    <t>PS-5120P</t>
  </si>
  <si>
    <t>EN-60974-1:2012</t>
  </si>
  <si>
    <t>AMARILLO</t>
  </si>
  <si>
    <t>COMPRESOR</t>
  </si>
  <si>
    <t>ARWK</t>
  </si>
  <si>
    <t>TALADRO PEDESTAL 110V</t>
  </si>
  <si>
    <t>ZJ4120</t>
  </si>
  <si>
    <t>080-BK-1268</t>
  </si>
  <si>
    <t>VERDE</t>
  </si>
  <si>
    <t>ESMERIL 110V</t>
  </si>
  <si>
    <t>BENCH</t>
  </si>
  <si>
    <t>TDS200H</t>
  </si>
  <si>
    <t>CORTADORA ELECTRICA 110V</t>
  </si>
  <si>
    <t>DEWALT</t>
  </si>
  <si>
    <t>AMARILLA</t>
  </si>
  <si>
    <t>DOBLADORA DE TUBO ( 6 PIEZAS)</t>
  </si>
  <si>
    <t xml:space="preserve">PRENSA DE MANO PEQUENA </t>
  </si>
  <si>
    <t xml:space="preserve">BOTELLA DE GAS </t>
  </si>
  <si>
    <t xml:space="preserve">GAS </t>
  </si>
  <si>
    <t xml:space="preserve">JUEGO DE CORTE OXIGENO </t>
  </si>
  <si>
    <t>VICTOR</t>
  </si>
  <si>
    <t>PLASTICO</t>
  </si>
  <si>
    <t>BOTELLA DE OXIGENO</t>
  </si>
  <si>
    <t xml:space="preserve">OXIGENO INDUSTRIAL </t>
  </si>
  <si>
    <t xml:space="preserve">CALIBRADOR </t>
  </si>
  <si>
    <t>0001</t>
  </si>
  <si>
    <t>METAL</t>
  </si>
  <si>
    <t xml:space="preserve">MASCARA DE SOLDAR </t>
  </si>
  <si>
    <t>LLAVES (17,3/8,12,19,)</t>
  </si>
  <si>
    <t>STANLEY</t>
  </si>
  <si>
    <t xml:space="preserve">PLAYOS </t>
  </si>
  <si>
    <t xml:space="preserve">ESCUADRA </t>
  </si>
  <si>
    <t>DESARMADOR  ( 2 PLANA - 2 ESTRELLA)</t>
  </si>
  <si>
    <t>MARTILLO</t>
  </si>
  <si>
    <t>PALANCA PORTA MACHUELO ( MACHUELO 1/2)</t>
  </si>
  <si>
    <t xml:space="preserve">LLAVE DE PICO </t>
  </si>
  <si>
    <t>STEEL</t>
  </si>
  <si>
    <t xml:space="preserve">PLAYO DE PRESION </t>
  </si>
  <si>
    <t xml:space="preserve">MESA METALICA </t>
  </si>
  <si>
    <t>NEGRAS</t>
  </si>
  <si>
    <t xml:space="preserve">EXTENSION </t>
  </si>
  <si>
    <t>BLANCA</t>
  </si>
  <si>
    <t xml:space="preserve">PLASTICO -COBRE </t>
  </si>
  <si>
    <t xml:space="preserve">6 GIGANTOGRAFIA  </t>
  </si>
  <si>
    <t xml:space="preserve">IMÁGENES </t>
  </si>
  <si>
    <t xml:space="preserve">PLASTICA </t>
  </si>
  <si>
    <t>ARMARIO</t>
  </si>
  <si>
    <t xml:space="preserve">PALA </t>
  </si>
  <si>
    <t>CAFÉ</t>
  </si>
  <si>
    <t>ESCALERA</t>
  </si>
  <si>
    <t>GRIS</t>
  </si>
  <si>
    <t>PUERTA</t>
  </si>
  <si>
    <t xml:space="preserve">SIERRA DE MANO </t>
  </si>
  <si>
    <t>METALICAS</t>
  </si>
  <si>
    <t>Donación</t>
  </si>
  <si>
    <t xml:space="preserve">LLAVE DE TUBO </t>
  </si>
  <si>
    <t>PTK</t>
  </si>
  <si>
    <t>2HP</t>
  </si>
  <si>
    <t>SOLDADORAS</t>
  </si>
  <si>
    <t>INGCO</t>
  </si>
  <si>
    <t>110/220</t>
  </si>
  <si>
    <t>AMARILLAS</t>
  </si>
  <si>
    <t>MICROMETRO</t>
  </si>
  <si>
    <t>25mm-50mm</t>
  </si>
  <si>
    <t>PISTOLA DE PINTAR</t>
  </si>
  <si>
    <t>FEPHIX</t>
  </si>
  <si>
    <t>MOD675P98</t>
  </si>
  <si>
    <t>78249472MA</t>
  </si>
  <si>
    <t>ANARANJADA</t>
  </si>
  <si>
    <t>PULIDORA</t>
  </si>
  <si>
    <t>PUMPKIN</t>
  </si>
  <si>
    <t>MD8762556</t>
  </si>
  <si>
    <t>345272-5</t>
  </si>
  <si>
    <t>TALADRO</t>
  </si>
  <si>
    <t>BLACK-DECKER</t>
  </si>
  <si>
    <t>HD555-B3</t>
  </si>
  <si>
    <t>NARANJA</t>
  </si>
  <si>
    <t>SILLA DOCENTE</t>
  </si>
  <si>
    <t>METAL/ MADERA</t>
  </si>
  <si>
    <t>MESA DOCENTE</t>
  </si>
  <si>
    <t>AMARILLO/ NEGRO</t>
  </si>
  <si>
    <t>TOTAL</t>
  </si>
  <si>
    <t>Se deja constancia que el custodio final que recibe los bienes se encargará de velar por el buen uso, conservación, administración, utilización, así como que las condiciones sean adecuadas, que no se encuentren en riesgo de deterioro de acuerdo con lo que estipula los Art.  47,49,20,21 y 44 literal c) d) del Reglamento General para la Administración, Utilización y Control de Bienes y Existencia del Sector Público y  las Normas de Control Interno 406-07, 406-08 y 406-11.</t>
  </si>
  <si>
    <t>LIC: Patricio Pilatuña S.</t>
  </si>
  <si>
    <t>DOCENTE DEL TERCER AÑO MECANIZADO CONSTRUCCIONES METALICAS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</si>
</sst>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0.00\ _€_-;\-* #,##0.00\ _€_-;_-* &quot;-&quot;??\ _€_-;_-@_-"/>
    <numFmt numFmtId="179" formatCode="&quot;$&quot;#,##0.00;[Red]&quot;$&quot;\-#,##0.00"/>
  </numFmts>
  <fonts count="37">
    <font>
      <sz val="11"/>
      <color theme="1"/>
      <name val="Calibri"/>
      <charset val="134"/>
      <scheme val="minor"/>
    </font>
    <font>
      <sz val="22"/>
      <color theme="1"/>
      <name val="Calibri"/>
      <charset val="134"/>
      <scheme val="minor"/>
    </font>
    <font>
      <b/>
      <sz val="16"/>
      <color theme="1"/>
      <name val="Calibri"/>
      <charset val="134"/>
      <scheme val="minor"/>
    </font>
    <font>
      <b/>
      <sz val="8"/>
      <color theme="1"/>
      <name val="Arial"/>
      <charset val="134"/>
    </font>
    <font>
      <sz val="8"/>
      <color theme="1"/>
      <name val="Arial"/>
      <charset val="134"/>
    </font>
    <font>
      <b/>
      <sz val="8"/>
      <name val="Arial"/>
      <charset val="134"/>
    </font>
    <font>
      <sz val="8"/>
      <name val="Arial"/>
      <charset val="134"/>
    </font>
    <font>
      <sz val="12"/>
      <color theme="1"/>
      <name val="Calibri"/>
      <charset val="134"/>
      <scheme val="minor"/>
    </font>
    <font>
      <sz val="8"/>
      <color theme="1"/>
      <name val="Calibri"/>
      <charset val="134"/>
      <scheme val="minor"/>
    </font>
    <font>
      <b/>
      <sz val="11"/>
      <color theme="1"/>
      <name val="Calibri"/>
      <charset val="134"/>
      <scheme val="minor"/>
    </font>
    <font>
      <sz val="8"/>
      <name val="Arial"/>
      <charset val="1"/>
    </font>
    <font>
      <b/>
      <sz val="8"/>
      <color theme="1"/>
      <name val="Calibri"/>
      <charset val="134"/>
      <scheme val="minor"/>
    </font>
    <font>
      <sz val="8"/>
      <name val="Calibri"/>
      <charset val="134"/>
      <scheme val="minor"/>
    </font>
    <font>
      <sz val="10"/>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22"/>
      <color theme="1"/>
      <name val="Calibri"/>
      <charset val="134"/>
      <scheme val="minor"/>
    </font>
    <font>
      <sz val="11"/>
      <color rgb="FFFF0000"/>
      <name val="Calibri"/>
      <charset val="134"/>
      <scheme val="minor"/>
    </font>
    <font>
      <sz val="11"/>
      <name val="Calibri"/>
      <charset val="134"/>
      <scheme val="minor"/>
    </font>
  </fonts>
  <fills count="35">
    <fill>
      <patternFill patternType="none"/>
    </fill>
    <fill>
      <patternFill patternType="gray125"/>
    </fill>
    <fill>
      <patternFill patternType="solid">
        <fgColor theme="2" tint="-0.099978637043366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177"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4" borderId="1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3" applyNumberFormat="0" applyFill="0" applyAlignment="0" applyProtection="0">
      <alignment vertical="center"/>
    </xf>
    <xf numFmtId="0" fontId="21" fillId="0" borderId="13" applyNumberFormat="0" applyFill="0" applyAlignment="0" applyProtection="0">
      <alignment vertical="center"/>
    </xf>
    <xf numFmtId="0" fontId="22" fillId="0" borderId="14" applyNumberFormat="0" applyFill="0" applyAlignment="0" applyProtection="0">
      <alignment vertical="center"/>
    </xf>
    <xf numFmtId="0" fontId="22" fillId="0" borderId="0" applyNumberFormat="0" applyFill="0" applyBorder="0" applyAlignment="0" applyProtection="0">
      <alignment vertical="center"/>
    </xf>
    <xf numFmtId="0" fontId="23" fillId="5" borderId="15" applyNumberFormat="0" applyAlignment="0" applyProtection="0">
      <alignment vertical="center"/>
    </xf>
    <xf numFmtId="0" fontId="24" fillId="6" borderId="16" applyNumberFormat="0" applyAlignment="0" applyProtection="0">
      <alignment vertical="center"/>
    </xf>
    <xf numFmtId="0" fontId="25" fillId="6" borderId="15" applyNumberFormat="0" applyAlignment="0" applyProtection="0">
      <alignment vertical="center"/>
    </xf>
    <xf numFmtId="0" fontId="26" fillId="7" borderId="17" applyNumberFormat="0" applyAlignment="0" applyProtection="0">
      <alignment vertical="center"/>
    </xf>
    <xf numFmtId="0" fontId="27" fillId="0" borderId="18" applyNumberFormat="0" applyFill="0" applyAlignment="0" applyProtection="0">
      <alignment vertical="center"/>
    </xf>
    <xf numFmtId="0" fontId="28" fillId="0" borderId="19" applyNumberFormat="0" applyFill="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2" fillId="34" borderId="0" applyNumberFormat="0" applyBorder="0" applyAlignment="0" applyProtection="0">
      <alignment vertical="center"/>
    </xf>
    <xf numFmtId="178" fontId="0" fillId="0" borderId="0" applyFont="0" applyFill="0" applyBorder="0" applyAlignment="0" applyProtection="0"/>
  </cellStyleXfs>
  <cellXfs count="53">
    <xf numFmtId="0" fontId="0" fillId="0" borderId="0" xfId="0"/>
    <xf numFmtId="0" fontId="1" fillId="0" borderId="0" xfId="0" applyFont="1" applyAlignment="1">
      <alignment horizontal="center" wrapText="1"/>
    </xf>
    <xf numFmtId="0" fontId="2" fillId="0" borderId="0" xfId="0" applyFont="1" applyAlignment="1">
      <alignment horizontal="center"/>
    </xf>
    <xf numFmtId="0" fontId="0" fillId="0" borderId="0" xfId="0" applyAlignment="1">
      <alignment horizontal="justify" vertical="justify" wrapText="1"/>
    </xf>
    <xf numFmtId="0" fontId="3" fillId="2" borderId="1" xfId="0" applyFont="1" applyFill="1" applyBorder="1" applyAlignment="1">
      <alignment horizontal="center" vertical="center" wrapText="1"/>
    </xf>
    <xf numFmtId="58"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58" fontId="5" fillId="3" borderId="2" xfId="0" applyNumberFormat="1" applyFont="1" applyFill="1" applyBorder="1" applyAlignment="1">
      <alignment horizontal="center" vertical="center" wrapText="1"/>
    </xf>
    <xf numFmtId="58" fontId="6" fillId="3" borderId="3" xfId="0" applyNumberFormat="1" applyFont="1" applyFill="1" applyBorder="1" applyAlignment="1">
      <alignment horizontal="center" vertical="center" wrapText="1"/>
    </xf>
    <xf numFmtId="0" fontId="7" fillId="0" borderId="4" xfId="0" applyFont="1" applyBorder="1" applyAlignment="1">
      <alignment horizontal="left" wrapText="1"/>
    </xf>
    <xf numFmtId="58" fontId="5" fillId="3" borderId="3" xfId="0" applyNumberFormat="1" applyFont="1" applyFill="1" applyBorder="1" applyAlignment="1">
      <alignment horizontal="center" vertical="center" wrapText="1"/>
    </xf>
    <xf numFmtId="0" fontId="8" fillId="3" borderId="0" xfId="0" applyFont="1" applyFill="1" applyAlignment="1">
      <alignment horizontal="center" vertical="center" wrapText="1"/>
    </xf>
    <xf numFmtId="0" fontId="9" fillId="0" borderId="0" xfId="0" applyFont="1" applyAlignment="1">
      <alignment horizontal="left"/>
    </xf>
    <xf numFmtId="0" fontId="9" fillId="0" borderId="0" xfId="0" applyFont="1"/>
    <xf numFmtId="0" fontId="9" fillId="0" borderId="0" xfId="0" applyFont="1" applyAlignment="1">
      <alignment horizontal="center"/>
    </xf>
    <xf numFmtId="0" fontId="9" fillId="0" borderId="0" xfId="0" applyFont="1" applyAlignment="1">
      <alignment horizontal="left" wrapText="1"/>
    </xf>
    <xf numFmtId="0" fontId="9" fillId="0" borderId="0" xfId="0" applyFont="1" applyAlignment="1">
      <alignment horizontal="center" wrapText="1"/>
    </xf>
    <xf numFmtId="0" fontId="9" fillId="0" borderId="0" xfId="0" applyFont="1" applyAlignment="1">
      <alignment wrapText="1"/>
    </xf>
    <xf numFmtId="0" fontId="4" fillId="3" borderId="1" xfId="0" applyFont="1" applyFill="1" applyBorder="1" applyAlignment="1">
      <alignment horizontal="center" vertical="center" wrapText="1"/>
    </xf>
    <xf numFmtId="2" fontId="4" fillId="0" borderId="1" xfId="0" applyNumberFormat="1" applyFont="1" applyBorder="1" applyAlignment="1">
      <alignment horizontal="right" vertical="center" wrapText="1"/>
    </xf>
    <xf numFmtId="2" fontId="4" fillId="0" borderId="1" xfId="0" applyNumberFormat="1" applyFont="1" applyBorder="1" applyAlignment="1">
      <alignment horizontal="center" vertical="center" wrapText="1"/>
    </xf>
    <xf numFmtId="1" fontId="4" fillId="0" borderId="1" xfId="0" applyNumberFormat="1" applyFont="1" applyBorder="1" applyAlignment="1">
      <alignment horizontal="center" vertical="center" wrapText="1"/>
    </xf>
    <xf numFmtId="0" fontId="10" fillId="0" borderId="1" xfId="0" applyFont="1" applyBorder="1" applyAlignment="1">
      <alignment vertical="center" wrapText="1"/>
    </xf>
    <xf numFmtId="58" fontId="6" fillId="3" borderId="5" xfId="0" applyNumberFormat="1" applyFont="1" applyFill="1" applyBorder="1" applyAlignment="1">
      <alignment horizontal="center" vertical="center" wrapText="1"/>
    </xf>
    <xf numFmtId="2" fontId="5" fillId="3" borderId="1" xfId="0" applyNumberFormat="1" applyFont="1" applyFill="1" applyBorder="1" applyAlignment="1">
      <alignment horizontal="center" vertical="center" wrapText="1"/>
    </xf>
    <xf numFmtId="1" fontId="3"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58" fontId="5" fillId="3" borderId="5" xfId="0" applyNumberFormat="1" applyFont="1" applyFill="1" applyBorder="1" applyAlignment="1">
      <alignment horizontal="center" vertical="center" wrapText="1"/>
    </xf>
    <xf numFmtId="0" fontId="0" fillId="0" borderId="0" xfId="0" applyFont="1" applyAlignment="1">
      <alignment horizontal="center"/>
    </xf>
    <xf numFmtId="0" fontId="0" fillId="0" borderId="0" xfId="0" applyAlignment="1">
      <alignment horizontal="center"/>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horizontal="center" vertical="center" wrapText="1"/>
    </xf>
    <xf numFmtId="49"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0" fillId="3" borderId="0" xfId="0" applyFill="1"/>
    <xf numFmtId="0" fontId="0" fillId="0" borderId="0" xfId="0" applyFont="1" applyAlignment="1">
      <alignment horizontal="justify" vertical="justify"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8" fillId="3" borderId="9" xfId="0" applyFont="1" applyFill="1" applyBorder="1" applyAlignment="1">
      <alignment horizontal="center" vertical="center"/>
    </xf>
    <xf numFmtId="58" fontId="8" fillId="3" borderId="1" xfId="0" applyNumberFormat="1"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13" fillId="0" borderId="0" xfId="0" applyFont="1" applyAlignment="1">
      <alignment horizontal="center" vertical="center" wrapText="1"/>
    </xf>
    <xf numFmtId="0" fontId="11" fillId="0" borderId="10" xfId="0" applyFont="1" applyBorder="1" applyAlignment="1">
      <alignment horizontal="center" vertical="center" wrapText="1"/>
    </xf>
    <xf numFmtId="0" fontId="8" fillId="3" borderId="1" xfId="0" applyFont="1" applyFill="1" applyBorder="1" applyAlignment="1">
      <alignment horizontal="left" vertical="center" wrapText="1"/>
    </xf>
    <xf numFmtId="178" fontId="12" fillId="3" borderId="1" xfId="49" applyFont="1" applyFill="1" applyBorder="1" applyAlignment="1">
      <alignment horizontal="right" vertical="center" wrapText="1"/>
    </xf>
    <xf numFmtId="0" fontId="8" fillId="3" borderId="11" xfId="0" applyFont="1" applyFill="1" applyBorder="1" applyAlignment="1">
      <alignment horizontal="center" vertical="center" wrapText="1"/>
    </xf>
    <xf numFmtId="179" fontId="0" fillId="0" borderId="0" xfId="0" applyNumberFormat="1" applyAlignment="1">
      <alignment horizontal="center" vertical="center" wrapText="1"/>
    </xf>
    <xf numFmtId="49" fontId="6" fillId="3" borderId="1" xfId="0" applyNumberFormat="1" applyFont="1" applyFill="1" applyBorder="1" applyAlignment="1" quotePrefix="1">
      <alignment horizontal="center" vertical="center" wrapText="1"/>
    </xf>
  </cellXfs>
  <cellStyles count="50">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 name="Millares 3"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523874</xdr:colOff>
      <xdr:row>0</xdr:row>
      <xdr:rowOff>104775</xdr:rowOff>
    </xdr:from>
    <xdr:to>
      <xdr:col>12</xdr:col>
      <xdr:colOff>504824</xdr:colOff>
      <xdr:row>3</xdr:row>
      <xdr:rowOff>129540</xdr:rowOff>
    </xdr:to>
    <xdr:pic>
      <xdr:nvPicPr>
        <xdr:cNvPr id="4" name="Imagen 3" descr="C:\Users\AFC1\Downloads\LOGO NUEVO ANDRÉS F. CÓRDOVA.jpg"/>
        <xdr:cNvPicPr/>
      </xdr:nvPicPr>
      <xdr:blipFill>
        <a:blip r:embed="rId1" cstate="print">
          <a:extLst>
            <a:ext uri="{28A0092B-C50C-407E-A947-70E740481C1C}">
              <a14:useLocalDpi xmlns:a14="http://schemas.microsoft.com/office/drawing/2010/main" val="0"/>
            </a:ext>
          </a:extLst>
        </a:blip>
        <a:srcRect/>
        <a:stretch>
          <a:fillRect/>
        </a:stretch>
      </xdr:blipFill>
      <xdr:spPr>
        <a:xfrm>
          <a:off x="7818120" y="104775"/>
          <a:ext cx="617855" cy="767715"/>
        </a:xfrm>
        <a:prstGeom prst="rect">
          <a:avLst/>
        </a:prstGeom>
        <a:noFill/>
        <a:ln>
          <a:noFill/>
        </a:ln>
      </xdr:spPr>
    </xdr:pic>
    <xdr:clientData/>
  </xdr:twoCellAnchor>
  <xdr:twoCellAnchor editAs="oneCell">
    <xdr:from>
      <xdr:col>0</xdr:col>
      <xdr:colOff>76201</xdr:colOff>
      <xdr:row>0</xdr:row>
      <xdr:rowOff>114300</xdr:rowOff>
    </xdr:from>
    <xdr:to>
      <xdr:col>2</xdr:col>
      <xdr:colOff>504826</xdr:colOff>
      <xdr:row>2</xdr:row>
      <xdr:rowOff>285750</xdr:rowOff>
    </xdr:to>
    <xdr:pic>
      <xdr:nvPicPr>
        <xdr:cNvPr id="5" name="Imagen 4"/>
        <xdr:cNvPicPr/>
      </xdr:nvPicPr>
      <xdr:blipFill>
        <a:blip r:embed="rId2" cstate="print">
          <a:extLst>
            <a:ext uri="{28A0092B-C50C-407E-A947-70E740481C1C}">
              <a14:useLocalDpi xmlns:a14="http://schemas.microsoft.com/office/drawing/2010/main" val="0"/>
            </a:ext>
          </a:extLst>
        </a:blip>
        <a:srcRect l="3110" t="2965" r="75981" b="90388"/>
        <a:stretch>
          <a:fillRect/>
        </a:stretch>
      </xdr:blipFill>
      <xdr:spPr>
        <a:xfrm>
          <a:off x="76200" y="114300"/>
          <a:ext cx="1198880" cy="552450"/>
        </a:xfrm>
        <a:prstGeom prst="rect">
          <a:avLst/>
        </a:prstGeom>
        <a:ln>
          <a:noFill/>
        </a:ln>
      </xdr:spPr>
    </xdr:pic>
    <xdr:clientData/>
  </xdr:twoCellAnchor>
  <xdr:twoCellAnchor editAs="oneCell">
    <xdr:from>
      <xdr:col>9</xdr:col>
      <xdr:colOff>152400</xdr:colOff>
      <xdr:row>0</xdr:row>
      <xdr:rowOff>9525</xdr:rowOff>
    </xdr:from>
    <xdr:to>
      <xdr:col>11</xdr:col>
      <xdr:colOff>400051</xdr:colOff>
      <xdr:row>2</xdr:row>
      <xdr:rowOff>38100</xdr:rowOff>
    </xdr:to>
    <xdr:pic>
      <xdr:nvPicPr>
        <xdr:cNvPr id="6" name="Imagen 5"/>
        <xdr:cNvPicPr/>
      </xdr:nvPicPr>
      <xdr:blipFill>
        <a:blip r:embed="rId2" cstate="print">
          <a:extLst>
            <a:ext uri="{28A0092B-C50C-407E-A947-70E740481C1C}">
              <a14:useLocalDpi xmlns:a14="http://schemas.microsoft.com/office/drawing/2010/main" val="0"/>
            </a:ext>
          </a:extLst>
        </a:blip>
        <a:srcRect l="72641" t="4684" r="3297" b="90618"/>
        <a:stretch>
          <a:fillRect/>
        </a:stretch>
      </xdr:blipFill>
      <xdr:spPr>
        <a:xfrm>
          <a:off x="6210935" y="9525"/>
          <a:ext cx="1483995" cy="409575"/>
        </a:xfrm>
        <a:prstGeom prst="rect">
          <a:avLst/>
        </a:prstGeom>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523874</xdr:colOff>
      <xdr:row>0</xdr:row>
      <xdr:rowOff>104775</xdr:rowOff>
    </xdr:from>
    <xdr:to>
      <xdr:col>12</xdr:col>
      <xdr:colOff>367664</xdr:colOff>
      <xdr:row>4</xdr:row>
      <xdr:rowOff>129540</xdr:rowOff>
    </xdr:to>
    <xdr:pic>
      <xdr:nvPicPr>
        <xdr:cNvPr id="8" name="Imagen 7" descr="C:\Users\AFC1\Downloads\LOGO NUEVO ANDRÉS F. CÓRDOVA.jpg"/>
        <xdr:cNvPicPr/>
      </xdr:nvPicPr>
      <xdr:blipFill>
        <a:blip r:embed="rId1" cstate="print">
          <a:extLst>
            <a:ext uri="{28A0092B-C50C-407E-A947-70E740481C1C}">
              <a14:useLocalDpi xmlns:a14="http://schemas.microsoft.com/office/drawing/2010/main" val="0"/>
            </a:ext>
          </a:extLst>
        </a:blip>
        <a:srcRect/>
        <a:stretch>
          <a:fillRect/>
        </a:stretch>
      </xdr:blipFill>
      <xdr:spPr>
        <a:xfrm>
          <a:off x="8590915" y="104775"/>
          <a:ext cx="577215" cy="958215"/>
        </a:xfrm>
        <a:prstGeom prst="rect">
          <a:avLst/>
        </a:prstGeom>
        <a:noFill/>
        <a:ln>
          <a:noFill/>
        </a:ln>
      </xdr:spPr>
    </xdr:pic>
    <xdr:clientData/>
  </xdr:twoCellAnchor>
  <xdr:twoCellAnchor editAs="oneCell">
    <xdr:from>
      <xdr:col>0</xdr:col>
      <xdr:colOff>76201</xdr:colOff>
      <xdr:row>0</xdr:row>
      <xdr:rowOff>114300</xdr:rowOff>
    </xdr:from>
    <xdr:to>
      <xdr:col>1</xdr:col>
      <xdr:colOff>504826</xdr:colOff>
      <xdr:row>3</xdr:row>
      <xdr:rowOff>102870</xdr:rowOff>
    </xdr:to>
    <xdr:pic>
      <xdr:nvPicPr>
        <xdr:cNvPr id="9" name="Imagen 8"/>
        <xdr:cNvPicPr/>
      </xdr:nvPicPr>
      <xdr:blipFill>
        <a:blip r:embed="rId2" cstate="print">
          <a:extLst>
            <a:ext uri="{28A0092B-C50C-407E-A947-70E740481C1C}">
              <a14:useLocalDpi xmlns:a14="http://schemas.microsoft.com/office/drawing/2010/main" val="0"/>
            </a:ext>
          </a:extLst>
        </a:blip>
        <a:srcRect l="3110" t="2965" r="75981" b="90388"/>
        <a:stretch>
          <a:fillRect/>
        </a:stretch>
      </xdr:blipFill>
      <xdr:spPr>
        <a:xfrm>
          <a:off x="76200" y="114300"/>
          <a:ext cx="1162050" cy="731520"/>
        </a:xfrm>
        <a:prstGeom prst="rect">
          <a:avLst/>
        </a:prstGeom>
        <a:ln>
          <a:noFill/>
        </a:ln>
      </xdr:spPr>
    </xdr:pic>
    <xdr:clientData/>
  </xdr:twoCellAnchor>
  <xdr:twoCellAnchor editAs="oneCell">
    <xdr:from>
      <xdr:col>9</xdr:col>
      <xdr:colOff>152400</xdr:colOff>
      <xdr:row>0</xdr:row>
      <xdr:rowOff>9525</xdr:rowOff>
    </xdr:from>
    <xdr:to>
      <xdr:col>11</xdr:col>
      <xdr:colOff>87631</xdr:colOff>
      <xdr:row>2</xdr:row>
      <xdr:rowOff>38100</xdr:rowOff>
    </xdr:to>
    <xdr:pic>
      <xdr:nvPicPr>
        <xdr:cNvPr id="10" name="Imagen 9"/>
        <xdr:cNvPicPr/>
      </xdr:nvPicPr>
      <xdr:blipFill>
        <a:blip r:embed="rId2" cstate="print">
          <a:extLst>
            <a:ext uri="{28A0092B-C50C-407E-A947-70E740481C1C}">
              <a14:useLocalDpi xmlns:a14="http://schemas.microsoft.com/office/drawing/2010/main" val="0"/>
            </a:ext>
          </a:extLst>
        </a:blip>
        <a:srcRect l="72641" t="4684" r="3297" b="90618"/>
        <a:stretch>
          <a:fillRect/>
        </a:stretch>
      </xdr:blipFill>
      <xdr:spPr>
        <a:xfrm>
          <a:off x="6753225" y="9525"/>
          <a:ext cx="1402080" cy="409575"/>
        </a:xfrm>
        <a:prstGeom prst="rect">
          <a:avLst/>
        </a:prstGeom>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M27"/>
  <sheetViews>
    <sheetView tabSelected="1" topLeftCell="A9" workbookViewId="0">
      <selection activeCell="M22" sqref="M22"/>
    </sheetView>
  </sheetViews>
  <sheetFormatPr defaultColWidth="10.6666666666667" defaultRowHeight="15"/>
  <cols>
    <col min="1" max="1" width="3.55238095238095" customWidth="1"/>
    <col min="2" max="2" width="8" customWidth="1"/>
    <col min="3" max="3" width="23.4380952380952" customWidth="1"/>
    <col min="4" max="4" width="7" customWidth="1"/>
    <col min="5" max="5" width="8.55238095238095" customWidth="1"/>
    <col min="6" max="6" width="8.43809523809524" customWidth="1"/>
    <col min="7" max="7" width="9.55238095238095" customWidth="1"/>
    <col min="9" max="9" width="11.6666666666667" customWidth="1"/>
    <col min="10" max="10" width="9.1047619047619" customWidth="1"/>
    <col min="11" max="11" width="9.43809523809524" customWidth="1"/>
    <col min="12" max="12" width="9.55238095238095" customWidth="1"/>
  </cols>
  <sheetData>
    <row r="3" ht="28.5" spans="1:13">
      <c r="A3" s="1" t="s">
        <v>0</v>
      </c>
      <c r="B3" s="1"/>
      <c r="C3" s="1"/>
      <c r="D3" s="1"/>
      <c r="E3" s="1"/>
      <c r="F3" s="1"/>
      <c r="G3" s="1"/>
      <c r="H3" s="1"/>
      <c r="I3" s="1"/>
      <c r="J3" s="1"/>
      <c r="K3" s="1"/>
      <c r="L3" s="1"/>
      <c r="M3" s="1"/>
    </row>
    <row r="4" spans="1:13">
      <c r="A4" s="2" t="s">
        <v>1</v>
      </c>
      <c r="B4" s="2"/>
      <c r="C4" s="2"/>
      <c r="D4" s="2"/>
      <c r="E4" s="2"/>
      <c r="F4" s="2"/>
      <c r="G4" s="2"/>
      <c r="H4" s="2"/>
      <c r="I4" s="2"/>
      <c r="J4" s="2"/>
      <c r="K4" s="2"/>
      <c r="L4" s="2"/>
      <c r="M4" s="2"/>
    </row>
    <row r="5" spans="1:13">
      <c r="A5" s="2"/>
      <c r="B5" s="2"/>
      <c r="C5" s="2"/>
      <c r="D5" s="2"/>
      <c r="E5" s="2"/>
      <c r="F5" s="2"/>
      <c r="G5" s="2"/>
      <c r="H5" s="2"/>
      <c r="I5" s="2"/>
      <c r="J5" s="2"/>
      <c r="K5" s="2"/>
      <c r="L5" s="2"/>
      <c r="M5" s="2"/>
    </row>
    <row r="6" ht="96" customHeight="1" spans="1:13">
      <c r="A6" s="37" t="s">
        <v>2</v>
      </c>
      <c r="B6" s="3"/>
      <c r="C6" s="3"/>
      <c r="D6" s="3"/>
      <c r="E6" s="3"/>
      <c r="F6" s="3"/>
      <c r="G6" s="3"/>
      <c r="H6" s="3"/>
      <c r="I6" s="3"/>
      <c r="J6" s="3"/>
      <c r="K6" s="3"/>
      <c r="L6" s="3"/>
      <c r="M6" s="3"/>
    </row>
    <row r="8" ht="23.25" spans="1:13">
      <c r="A8" s="38" t="s">
        <v>3</v>
      </c>
      <c r="B8" s="39" t="s">
        <v>4</v>
      </c>
      <c r="C8" s="40" t="s">
        <v>5</v>
      </c>
      <c r="D8" s="40" t="s">
        <v>6</v>
      </c>
      <c r="E8" s="40" t="s">
        <v>7</v>
      </c>
      <c r="F8" s="40" t="s">
        <v>8</v>
      </c>
      <c r="G8" s="40" t="s">
        <v>9</v>
      </c>
      <c r="H8" s="40" t="s">
        <v>10</v>
      </c>
      <c r="I8" s="40" t="s">
        <v>11</v>
      </c>
      <c r="J8" s="40" t="s">
        <v>12</v>
      </c>
      <c r="K8" s="40" t="s">
        <v>13</v>
      </c>
      <c r="L8" s="40" t="s">
        <v>14</v>
      </c>
      <c r="M8" s="48" t="s">
        <v>15</v>
      </c>
    </row>
    <row r="9" ht="22.5" spans="1:13">
      <c r="A9" s="41">
        <v>1</v>
      </c>
      <c r="B9" s="42" t="s">
        <v>16</v>
      </c>
      <c r="C9" s="43" t="s">
        <v>17</v>
      </c>
      <c r="D9" s="44">
        <v>1</v>
      </c>
      <c r="E9" s="43" t="s">
        <v>18</v>
      </c>
      <c r="F9" s="43" t="s">
        <v>19</v>
      </c>
      <c r="G9" s="43" t="s">
        <v>19</v>
      </c>
      <c r="H9" s="43" t="s">
        <v>20</v>
      </c>
      <c r="I9" s="49" t="s">
        <v>21</v>
      </c>
      <c r="J9" s="50">
        <v>30</v>
      </c>
      <c r="K9" s="50">
        <v>30</v>
      </c>
      <c r="L9" s="49" t="s">
        <v>22</v>
      </c>
      <c r="M9" s="51"/>
    </row>
    <row r="10" ht="22.5" spans="1:13">
      <c r="A10" s="41">
        <v>2</v>
      </c>
      <c r="B10" s="42" t="s">
        <v>23</v>
      </c>
      <c r="C10" s="43" t="s">
        <v>24</v>
      </c>
      <c r="D10" s="44">
        <v>1</v>
      </c>
      <c r="E10" s="43" t="s">
        <v>18</v>
      </c>
      <c r="F10" s="43" t="s">
        <v>19</v>
      </c>
      <c r="G10" s="43" t="s">
        <v>19</v>
      </c>
      <c r="H10" s="43" t="s">
        <v>25</v>
      </c>
      <c r="I10" s="43" t="s">
        <v>26</v>
      </c>
      <c r="J10" s="50">
        <v>50.38</v>
      </c>
      <c r="K10" s="50">
        <v>50.38</v>
      </c>
      <c r="L10" s="49" t="s">
        <v>27</v>
      </c>
      <c r="M10" s="51"/>
    </row>
    <row r="11" ht="22.5" spans="1:13">
      <c r="A11" s="41">
        <v>3</v>
      </c>
      <c r="B11" s="42" t="s">
        <v>23</v>
      </c>
      <c r="C11" s="43" t="s">
        <v>28</v>
      </c>
      <c r="D11" s="44">
        <v>1</v>
      </c>
      <c r="E11" s="43" t="s">
        <v>18</v>
      </c>
      <c r="F11" s="43" t="s">
        <v>19</v>
      </c>
      <c r="G11" s="43" t="s">
        <v>19</v>
      </c>
      <c r="H11" s="43" t="s">
        <v>29</v>
      </c>
      <c r="I11" s="49" t="s">
        <v>30</v>
      </c>
      <c r="J11" s="50">
        <v>150</v>
      </c>
      <c r="K11" s="50">
        <v>150</v>
      </c>
      <c r="L11" s="49" t="s">
        <v>27</v>
      </c>
      <c r="M11" s="51"/>
    </row>
    <row r="12" ht="22.5" spans="1:13">
      <c r="A12" s="41">
        <v>4</v>
      </c>
      <c r="B12" s="42" t="s">
        <v>31</v>
      </c>
      <c r="C12" s="43" t="s">
        <v>32</v>
      </c>
      <c r="D12" s="44">
        <v>27</v>
      </c>
      <c r="E12" s="43" t="s">
        <v>18</v>
      </c>
      <c r="F12" s="43" t="s">
        <v>19</v>
      </c>
      <c r="G12" s="43" t="s">
        <v>19</v>
      </c>
      <c r="H12" s="43" t="s">
        <v>29</v>
      </c>
      <c r="I12" s="49" t="s">
        <v>33</v>
      </c>
      <c r="J12" s="50"/>
      <c r="K12" s="50"/>
      <c r="L12" s="49" t="s">
        <v>34</v>
      </c>
      <c r="M12" s="51"/>
    </row>
    <row r="13" ht="22.5" spans="1:13">
      <c r="A13" s="41">
        <v>5</v>
      </c>
      <c r="B13" s="42" t="s">
        <v>31</v>
      </c>
      <c r="C13" s="43" t="s">
        <v>32</v>
      </c>
      <c r="D13" s="44">
        <v>2</v>
      </c>
      <c r="E13" s="43" t="s">
        <v>18</v>
      </c>
      <c r="F13" s="43" t="s">
        <v>19</v>
      </c>
      <c r="G13" s="43" t="s">
        <v>19</v>
      </c>
      <c r="H13" s="43" t="s">
        <v>29</v>
      </c>
      <c r="I13" s="43" t="s">
        <v>33</v>
      </c>
      <c r="J13" s="50"/>
      <c r="K13" s="50"/>
      <c r="L13" s="49" t="s">
        <v>35</v>
      </c>
      <c r="M13" s="51"/>
    </row>
    <row r="14" spans="1:13">
      <c r="A14" s="41">
        <v>6</v>
      </c>
      <c r="B14" s="42"/>
      <c r="C14" s="43"/>
      <c r="D14" s="44"/>
      <c r="E14" s="43"/>
      <c r="F14" s="43"/>
      <c r="G14" s="43"/>
      <c r="H14" s="43"/>
      <c r="I14" s="49"/>
      <c r="J14" s="50"/>
      <c r="K14" s="50"/>
      <c r="L14" s="49"/>
      <c r="M14" s="51"/>
    </row>
    <row r="15" spans="1:13">
      <c r="A15" s="41">
        <v>7</v>
      </c>
      <c r="B15" s="42"/>
      <c r="C15" s="43"/>
      <c r="D15" s="44"/>
      <c r="E15" s="43"/>
      <c r="F15" s="43"/>
      <c r="G15" s="43"/>
      <c r="H15" s="43"/>
      <c r="I15" s="49"/>
      <c r="J15" s="50"/>
      <c r="K15" s="50"/>
      <c r="L15" s="49"/>
      <c r="M15" s="51"/>
    </row>
    <row r="16" spans="3:13">
      <c r="C16" s="45"/>
      <c r="D16" s="46"/>
      <c r="E16" s="45"/>
      <c r="F16" s="45"/>
      <c r="G16" s="45"/>
      <c r="H16" s="47"/>
      <c r="I16" s="47"/>
      <c r="J16" s="52"/>
      <c r="K16" s="52"/>
      <c r="L16" s="47"/>
      <c r="M16" s="47"/>
    </row>
    <row r="17" spans="1:13">
      <c r="A17" s="3" t="s">
        <v>36</v>
      </c>
      <c r="B17" s="3"/>
      <c r="C17" s="3"/>
      <c r="D17" s="3"/>
      <c r="E17" s="3"/>
      <c r="F17" s="3"/>
      <c r="G17" s="3"/>
      <c r="H17" s="3"/>
      <c r="I17" s="3"/>
      <c r="J17" s="3"/>
      <c r="K17" s="3"/>
      <c r="L17" s="3"/>
      <c r="M17" s="3"/>
    </row>
    <row r="18" spans="1:13">
      <c r="A18" s="3"/>
      <c r="B18" s="3"/>
      <c r="C18" s="3"/>
      <c r="D18" s="3"/>
      <c r="E18" s="3"/>
      <c r="F18" s="3"/>
      <c r="G18" s="3"/>
      <c r="H18" s="3"/>
      <c r="I18" s="3"/>
      <c r="J18" s="3"/>
      <c r="K18" s="3"/>
      <c r="L18" s="3"/>
      <c r="M18" s="3"/>
    </row>
    <row r="19" spans="1:13">
      <c r="A19" s="3" t="s">
        <v>37</v>
      </c>
      <c r="B19" s="3"/>
      <c r="C19" s="3"/>
      <c r="D19" s="3"/>
      <c r="E19" s="3"/>
      <c r="F19" s="3"/>
      <c r="G19" s="3"/>
      <c r="H19" s="3"/>
      <c r="I19" s="3"/>
      <c r="J19" s="3"/>
      <c r="K19" s="3"/>
      <c r="L19" s="3"/>
      <c r="M19" s="3"/>
    </row>
    <row r="20" spans="1:1">
      <c r="A20" s="12"/>
    </row>
    <row r="21" spans="1:13">
      <c r="A21" s="13" t="s">
        <v>38</v>
      </c>
      <c r="B21" s="13"/>
      <c r="C21" s="13"/>
      <c r="D21" s="14"/>
      <c r="E21" s="14"/>
      <c r="F21" s="14"/>
      <c r="G21" s="14"/>
      <c r="H21" s="14"/>
      <c r="I21" s="14"/>
      <c r="J21" s="14" t="s">
        <v>39</v>
      </c>
      <c r="K21" s="14"/>
      <c r="L21" s="14"/>
      <c r="M21" s="14"/>
    </row>
    <row r="22" spans="1:13">
      <c r="A22" s="15"/>
      <c r="B22" s="15"/>
      <c r="C22" s="15"/>
      <c r="D22" s="14"/>
      <c r="E22" s="14"/>
      <c r="F22" s="14"/>
      <c r="G22" s="14"/>
      <c r="H22" s="14"/>
      <c r="I22" s="14"/>
      <c r="J22" s="15"/>
      <c r="K22" s="15"/>
      <c r="L22" s="15"/>
      <c r="M22" s="15"/>
    </row>
    <row r="24" spans="1:11">
      <c r="A24" s="16" t="s">
        <v>40</v>
      </c>
      <c r="B24" s="16"/>
      <c r="C24" s="16"/>
      <c r="J24" s="15" t="s">
        <v>41</v>
      </c>
      <c r="K24" s="30"/>
    </row>
    <row r="25" spans="1:13">
      <c r="A25" s="16" t="s">
        <v>42</v>
      </c>
      <c r="B25" s="16"/>
      <c r="C25" s="16"/>
      <c r="D25" s="16"/>
      <c r="E25" s="16"/>
      <c r="F25" s="14"/>
      <c r="G25" s="14"/>
      <c r="H25" s="31" t="s">
        <v>43</v>
      </c>
      <c r="I25" s="31"/>
      <c r="J25" s="31"/>
      <c r="K25" s="31"/>
      <c r="L25" s="31"/>
      <c r="M25" s="31"/>
    </row>
    <row r="26" spans="4:13">
      <c r="D26" s="17"/>
      <c r="E26" s="18"/>
      <c r="F26" s="14"/>
      <c r="G26" s="14"/>
      <c r="H26" s="14"/>
      <c r="I26" s="14"/>
      <c r="J26" s="32"/>
      <c r="K26" s="32"/>
      <c r="L26" s="33"/>
      <c r="M26" s="33"/>
    </row>
    <row r="27" spans="1:13">
      <c r="A27" s="17"/>
      <c r="B27" s="17"/>
      <c r="C27" s="17"/>
      <c r="D27" s="17"/>
      <c r="E27" s="18"/>
      <c r="F27" s="14"/>
      <c r="G27" s="14"/>
      <c r="H27" s="14"/>
      <c r="I27" s="14"/>
      <c r="J27" s="33"/>
      <c r="K27" s="33"/>
      <c r="L27" s="33"/>
      <c r="M27" s="33"/>
    </row>
  </sheetData>
  <mergeCells count="10">
    <mergeCell ref="A3:M3"/>
    <mergeCell ref="A6:M6"/>
    <mergeCell ref="A17:M17"/>
    <mergeCell ref="A19:M19"/>
    <mergeCell ref="A21:C21"/>
    <mergeCell ref="A24:C24"/>
    <mergeCell ref="J24:K24"/>
    <mergeCell ref="A25:E25"/>
    <mergeCell ref="H25:M25"/>
    <mergeCell ref="A4:M5"/>
  </mergeCells>
  <pageMargins left="0.7" right="0.7" top="0.75" bottom="0.75" header="0.3" footer="0.3"/>
  <pageSetup paperSize="9"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S64"/>
  <sheetViews>
    <sheetView topLeftCell="A33" workbookViewId="0">
      <selection activeCell="L46" sqref="L46"/>
    </sheetView>
  </sheetViews>
  <sheetFormatPr defaultColWidth="11" defaultRowHeight="15"/>
  <sheetData>
    <row r="3" ht="28.5" spans="1:13">
      <c r="A3" s="1" t="s">
        <v>0</v>
      </c>
      <c r="B3" s="1"/>
      <c r="C3" s="1"/>
      <c r="D3" s="1"/>
      <c r="E3" s="1"/>
      <c r="F3" s="1"/>
      <c r="G3" s="1"/>
      <c r="H3" s="1"/>
      <c r="I3" s="1"/>
      <c r="J3" s="1"/>
      <c r="K3" s="1"/>
      <c r="L3" s="1"/>
      <c r="M3" s="1"/>
    </row>
    <row r="4" spans="1:13">
      <c r="A4" s="2" t="s">
        <v>1</v>
      </c>
      <c r="B4" s="2"/>
      <c r="C4" s="2"/>
      <c r="D4" s="2"/>
      <c r="E4" s="2"/>
      <c r="F4" s="2"/>
      <c r="G4" s="2"/>
      <c r="H4" s="2"/>
      <c r="I4" s="2"/>
      <c r="J4" s="2"/>
      <c r="K4" s="2"/>
      <c r="L4" s="2"/>
      <c r="M4" s="2"/>
    </row>
    <row r="5" spans="1:13">
      <c r="A5" s="2"/>
      <c r="B5" s="2"/>
      <c r="C5" s="2"/>
      <c r="D5" s="2"/>
      <c r="E5" s="2"/>
      <c r="F5" s="2"/>
      <c r="G5" s="2"/>
      <c r="H5" s="2"/>
      <c r="I5" s="2"/>
      <c r="J5" s="2"/>
      <c r="K5" s="2"/>
      <c r="L5" s="2"/>
      <c r="M5" s="2"/>
    </row>
    <row r="6" ht="55.2" customHeight="1" spans="1:13">
      <c r="A6" s="3" t="s">
        <v>44</v>
      </c>
      <c r="B6" s="3"/>
      <c r="C6" s="3"/>
      <c r="D6" s="3"/>
      <c r="E6" s="3"/>
      <c r="F6" s="3"/>
      <c r="G6" s="3"/>
      <c r="H6" s="3"/>
      <c r="I6" s="3"/>
      <c r="J6" s="3"/>
      <c r="K6" s="3"/>
      <c r="L6" s="3"/>
      <c r="M6" s="3"/>
    </row>
    <row r="8" ht="20.4" customHeight="1" spans="1:18">
      <c r="A8" s="4" t="s">
        <v>45</v>
      </c>
      <c r="B8" s="4" t="s">
        <v>46</v>
      </c>
      <c r="C8" s="4" t="s">
        <v>47</v>
      </c>
      <c r="D8" s="4" t="s">
        <v>9</v>
      </c>
      <c r="E8" s="4" t="s">
        <v>8</v>
      </c>
      <c r="F8" s="4" t="s">
        <v>7</v>
      </c>
      <c r="G8" s="4" t="s">
        <v>10</v>
      </c>
      <c r="H8" s="4" t="s">
        <v>48</v>
      </c>
      <c r="I8" s="4" t="s">
        <v>49</v>
      </c>
      <c r="J8" s="4" t="s">
        <v>50</v>
      </c>
      <c r="K8" s="4" t="s">
        <v>51</v>
      </c>
      <c r="L8" s="4" t="s">
        <v>52</v>
      </c>
      <c r="M8" s="4" t="s">
        <v>53</v>
      </c>
      <c r="N8" s="4" t="s">
        <v>14</v>
      </c>
      <c r="O8" s="4" t="s">
        <v>54</v>
      </c>
      <c r="P8" s="4" t="s">
        <v>55</v>
      </c>
      <c r="Q8" s="4" t="s">
        <v>56</v>
      </c>
      <c r="R8" s="4" t="s">
        <v>57</v>
      </c>
    </row>
    <row r="9" ht="33.75" spans="1:19">
      <c r="A9" s="5">
        <v>44769</v>
      </c>
      <c r="B9" s="5">
        <f ca="1" t="shared" ref="B9:B51" si="0">TODAY()</f>
        <v>46019</v>
      </c>
      <c r="C9" s="6" t="s">
        <v>58</v>
      </c>
      <c r="D9" s="7" t="s">
        <v>59</v>
      </c>
      <c r="E9" s="7" t="s">
        <v>60</v>
      </c>
      <c r="F9" s="7" t="s">
        <v>18</v>
      </c>
      <c r="G9" s="7" t="s">
        <v>61</v>
      </c>
      <c r="H9" s="7" t="s">
        <v>62</v>
      </c>
      <c r="I9" s="19">
        <v>1</v>
      </c>
      <c r="J9" s="20">
        <v>700</v>
      </c>
      <c r="K9" s="21">
        <f>I9*J9</f>
        <v>700</v>
      </c>
      <c r="L9" s="22">
        <v>1</v>
      </c>
      <c r="M9" s="22">
        <f>INT(ROW()/38)</f>
        <v>0</v>
      </c>
      <c r="N9" s="23" t="s">
        <v>34</v>
      </c>
      <c r="O9" s="7" t="s">
        <v>63</v>
      </c>
      <c r="P9" s="7" t="s">
        <v>64</v>
      </c>
      <c r="Q9" s="53" t="s">
        <v>65</v>
      </c>
      <c r="R9" s="35" t="s">
        <v>66</v>
      </c>
      <c r="S9" s="36"/>
    </row>
    <row r="10" ht="45" spans="1:18">
      <c r="A10" s="5">
        <v>44769</v>
      </c>
      <c r="B10" s="5">
        <f ca="1" t="shared" si="0"/>
        <v>46019</v>
      </c>
      <c r="C10" s="6" t="s">
        <v>67</v>
      </c>
      <c r="D10" s="7" t="s">
        <v>68</v>
      </c>
      <c r="E10" s="7">
        <v>3111003693</v>
      </c>
      <c r="F10" s="7" t="s">
        <v>18</v>
      </c>
      <c r="G10" s="7" t="s">
        <v>69</v>
      </c>
      <c r="H10" s="7" t="s">
        <v>62</v>
      </c>
      <c r="I10" s="19">
        <v>1</v>
      </c>
      <c r="J10" s="20">
        <v>600</v>
      </c>
      <c r="K10" s="21">
        <f t="shared" ref="K10:K51" si="1">I10*J10</f>
        <v>600</v>
      </c>
      <c r="L10" s="22">
        <f>IF(K11="","",L9+1)</f>
        <v>2</v>
      </c>
      <c r="M10" s="22">
        <f t="shared" ref="M10:M40" si="2">INT(ROW()/38)</f>
        <v>0</v>
      </c>
      <c r="N10" s="23" t="s">
        <v>34</v>
      </c>
      <c r="O10" s="7" t="s">
        <v>63</v>
      </c>
      <c r="P10" s="7" t="s">
        <v>64</v>
      </c>
      <c r="Q10" s="53" t="s">
        <v>65</v>
      </c>
      <c r="R10" s="35" t="s">
        <v>66</v>
      </c>
    </row>
    <row r="11" ht="45" spans="1:18">
      <c r="A11" s="5">
        <v>44769</v>
      </c>
      <c r="B11" s="5">
        <f ca="1" t="shared" si="0"/>
        <v>46019</v>
      </c>
      <c r="C11" s="6" t="s">
        <v>67</v>
      </c>
      <c r="D11" s="7" t="s">
        <v>70</v>
      </c>
      <c r="E11" s="7">
        <v>11041140309</v>
      </c>
      <c r="F11" s="7" t="s">
        <v>18</v>
      </c>
      <c r="G11" s="7" t="s">
        <v>69</v>
      </c>
      <c r="H11" s="7" t="s">
        <v>62</v>
      </c>
      <c r="I11" s="19">
        <v>1</v>
      </c>
      <c r="J11" s="20">
        <v>600</v>
      </c>
      <c r="K11" s="21">
        <f t="shared" si="1"/>
        <v>600</v>
      </c>
      <c r="L11" s="22">
        <f t="shared" ref="L11:L45" si="3">IF(K12="","",L10+1)</f>
        <v>3</v>
      </c>
      <c r="M11" s="22">
        <f t="shared" si="2"/>
        <v>0</v>
      </c>
      <c r="N11" s="23" t="s">
        <v>34</v>
      </c>
      <c r="O11" s="7" t="s">
        <v>63</v>
      </c>
      <c r="P11" s="7" t="s">
        <v>64</v>
      </c>
      <c r="Q11" s="53" t="s">
        <v>65</v>
      </c>
      <c r="R11" s="35" t="s">
        <v>66</v>
      </c>
    </row>
    <row r="12" ht="33.75" spans="1:18">
      <c r="A12" s="5">
        <v>44769</v>
      </c>
      <c r="B12" s="5">
        <f ca="1" t="shared" si="0"/>
        <v>46019</v>
      </c>
      <c r="C12" s="6" t="s">
        <v>71</v>
      </c>
      <c r="D12" s="7" t="s">
        <v>72</v>
      </c>
      <c r="E12" s="7" t="s">
        <v>73</v>
      </c>
      <c r="F12" s="7" t="s">
        <v>18</v>
      </c>
      <c r="G12" s="7" t="s">
        <v>61</v>
      </c>
      <c r="H12" s="7" t="s">
        <v>62</v>
      </c>
      <c r="I12" s="19">
        <v>1</v>
      </c>
      <c r="J12" s="20">
        <v>120.54</v>
      </c>
      <c r="K12" s="21">
        <f t="shared" si="1"/>
        <v>120.54</v>
      </c>
      <c r="L12" s="22">
        <f t="shared" si="3"/>
        <v>4</v>
      </c>
      <c r="M12" s="22">
        <f t="shared" si="2"/>
        <v>0</v>
      </c>
      <c r="N12" s="23" t="s">
        <v>74</v>
      </c>
      <c r="O12" s="7" t="s">
        <v>63</v>
      </c>
      <c r="P12" s="7" t="s">
        <v>64</v>
      </c>
      <c r="Q12" s="53" t="s">
        <v>65</v>
      </c>
      <c r="R12" s="35" t="s">
        <v>66</v>
      </c>
    </row>
    <row r="13" ht="33.75" spans="1:18">
      <c r="A13" s="5">
        <v>44769</v>
      </c>
      <c r="B13" s="5">
        <f ca="1" t="shared" si="0"/>
        <v>46019</v>
      </c>
      <c r="C13" s="6" t="s">
        <v>75</v>
      </c>
      <c r="D13" s="7" t="s">
        <v>76</v>
      </c>
      <c r="E13" s="7" t="s">
        <v>77</v>
      </c>
      <c r="F13" s="7" t="s">
        <v>18</v>
      </c>
      <c r="G13" s="7" t="s">
        <v>69</v>
      </c>
      <c r="H13" s="7" t="s">
        <v>62</v>
      </c>
      <c r="I13" s="19">
        <v>1</v>
      </c>
      <c r="J13" s="20">
        <v>300</v>
      </c>
      <c r="K13" s="21">
        <f t="shared" si="1"/>
        <v>300</v>
      </c>
      <c r="L13" s="22">
        <f t="shared" si="3"/>
        <v>5</v>
      </c>
      <c r="M13" s="22">
        <f t="shared" si="2"/>
        <v>0</v>
      </c>
      <c r="N13" s="23" t="s">
        <v>74</v>
      </c>
      <c r="O13" s="7" t="s">
        <v>63</v>
      </c>
      <c r="P13" s="7" t="s">
        <v>64</v>
      </c>
      <c r="Q13" s="53" t="s">
        <v>65</v>
      </c>
      <c r="R13" s="35" t="s">
        <v>66</v>
      </c>
    </row>
    <row r="14" ht="33.75" spans="1:18">
      <c r="A14" s="5">
        <v>44769</v>
      </c>
      <c r="B14" s="5">
        <f ca="1" t="shared" si="0"/>
        <v>46019</v>
      </c>
      <c r="C14" s="6" t="s">
        <v>75</v>
      </c>
      <c r="D14" s="7" t="s">
        <v>78</v>
      </c>
      <c r="E14" s="7" t="s">
        <v>79</v>
      </c>
      <c r="F14" s="7" t="s">
        <v>80</v>
      </c>
      <c r="G14" s="7" t="s">
        <v>81</v>
      </c>
      <c r="H14" s="7" t="s">
        <v>62</v>
      </c>
      <c r="I14" s="19">
        <v>1</v>
      </c>
      <c r="J14" s="20">
        <v>180</v>
      </c>
      <c r="K14" s="21">
        <f t="shared" si="1"/>
        <v>180</v>
      </c>
      <c r="L14" s="22">
        <f t="shared" si="3"/>
        <v>6</v>
      </c>
      <c r="M14" s="22">
        <f t="shared" si="2"/>
        <v>0</v>
      </c>
      <c r="N14" s="23" t="s">
        <v>74</v>
      </c>
      <c r="O14" s="7" t="s">
        <v>63</v>
      </c>
      <c r="P14" s="7" t="s">
        <v>64</v>
      </c>
      <c r="Q14" s="53" t="s">
        <v>65</v>
      </c>
      <c r="R14" s="35" t="s">
        <v>66</v>
      </c>
    </row>
    <row r="15" ht="33.75" spans="1:18">
      <c r="A15" s="5">
        <v>44769</v>
      </c>
      <c r="B15" s="5">
        <f ca="1" t="shared" si="0"/>
        <v>46019</v>
      </c>
      <c r="C15" s="6" t="s">
        <v>82</v>
      </c>
      <c r="D15" s="7" t="s">
        <v>78</v>
      </c>
      <c r="E15" s="7" t="s">
        <v>83</v>
      </c>
      <c r="F15" s="7">
        <v>101104001</v>
      </c>
      <c r="G15" s="7" t="s">
        <v>81</v>
      </c>
      <c r="H15" s="7" t="s">
        <v>62</v>
      </c>
      <c r="I15" s="19">
        <v>1</v>
      </c>
      <c r="J15" s="20">
        <v>255</v>
      </c>
      <c r="K15" s="21">
        <f t="shared" si="1"/>
        <v>255</v>
      </c>
      <c r="L15" s="22">
        <f t="shared" si="3"/>
        <v>7</v>
      </c>
      <c r="M15" s="22">
        <f t="shared" si="2"/>
        <v>0</v>
      </c>
      <c r="N15" s="23" t="s">
        <v>35</v>
      </c>
      <c r="O15" s="7" t="s">
        <v>63</v>
      </c>
      <c r="P15" s="7" t="s">
        <v>64</v>
      </c>
      <c r="Q15" s="53" t="s">
        <v>65</v>
      </c>
      <c r="R15" s="35" t="s">
        <v>66</v>
      </c>
    </row>
    <row r="16" ht="33.75" spans="1:18">
      <c r="A16" s="5">
        <v>44769</v>
      </c>
      <c r="B16" s="5">
        <f ca="1" t="shared" si="0"/>
        <v>46019</v>
      </c>
      <c r="C16" s="6" t="s">
        <v>84</v>
      </c>
      <c r="D16" s="7" t="s">
        <v>85</v>
      </c>
      <c r="E16" s="7" t="s">
        <v>86</v>
      </c>
      <c r="F16" s="7" t="s">
        <v>18</v>
      </c>
      <c r="G16" s="7" t="s">
        <v>87</v>
      </c>
      <c r="H16" s="7" t="s">
        <v>62</v>
      </c>
      <c r="I16" s="19">
        <v>1</v>
      </c>
      <c r="J16" s="20">
        <v>400</v>
      </c>
      <c r="K16" s="21">
        <f t="shared" si="1"/>
        <v>400</v>
      </c>
      <c r="L16" s="22">
        <f t="shared" si="3"/>
        <v>8</v>
      </c>
      <c r="M16" s="22">
        <f t="shared" si="2"/>
        <v>0</v>
      </c>
      <c r="N16" s="23" t="s">
        <v>27</v>
      </c>
      <c r="O16" s="7" t="s">
        <v>63</v>
      </c>
      <c r="P16" s="7" t="s">
        <v>64</v>
      </c>
      <c r="Q16" s="53" t="s">
        <v>65</v>
      </c>
      <c r="R16" s="35" t="s">
        <v>66</v>
      </c>
    </row>
    <row r="17" ht="33.75" spans="1:18">
      <c r="A17" s="5">
        <v>44769</v>
      </c>
      <c r="B17" s="5">
        <f ca="1" t="shared" si="0"/>
        <v>46019</v>
      </c>
      <c r="C17" s="6" t="s">
        <v>88</v>
      </c>
      <c r="D17" s="7" t="s">
        <v>89</v>
      </c>
      <c r="E17" s="7" t="s">
        <v>90</v>
      </c>
      <c r="F17" s="7" t="s">
        <v>18</v>
      </c>
      <c r="G17" s="7" t="s">
        <v>61</v>
      </c>
      <c r="H17" s="7" t="s">
        <v>62</v>
      </c>
      <c r="I17" s="19">
        <v>1</v>
      </c>
      <c r="J17" s="20">
        <v>68</v>
      </c>
      <c r="K17" s="21">
        <f t="shared" si="1"/>
        <v>68</v>
      </c>
      <c r="L17" s="22">
        <f t="shared" si="3"/>
        <v>9</v>
      </c>
      <c r="M17" s="22">
        <f t="shared" si="2"/>
        <v>0</v>
      </c>
      <c r="N17" s="23" t="s">
        <v>35</v>
      </c>
      <c r="O17" s="7" t="s">
        <v>63</v>
      </c>
      <c r="P17" s="7" t="s">
        <v>64</v>
      </c>
      <c r="Q17" s="53" t="s">
        <v>65</v>
      </c>
      <c r="R17" s="35" t="s">
        <v>66</v>
      </c>
    </row>
    <row r="18" ht="33.75" spans="1:18">
      <c r="A18" s="5">
        <v>44769</v>
      </c>
      <c r="B18" s="5">
        <f ca="1" t="shared" si="0"/>
        <v>46019</v>
      </c>
      <c r="C18" s="6" t="s">
        <v>91</v>
      </c>
      <c r="D18" s="7" t="s">
        <v>92</v>
      </c>
      <c r="E18" s="7">
        <v>250659</v>
      </c>
      <c r="F18" s="7">
        <v>250659</v>
      </c>
      <c r="G18" s="7" t="s">
        <v>93</v>
      </c>
      <c r="H18" s="7" t="s">
        <v>62</v>
      </c>
      <c r="I18" s="19">
        <v>1</v>
      </c>
      <c r="J18" s="20">
        <v>250</v>
      </c>
      <c r="K18" s="21">
        <f t="shared" si="1"/>
        <v>250</v>
      </c>
      <c r="L18" s="22">
        <f t="shared" si="3"/>
        <v>10</v>
      </c>
      <c r="M18" s="22">
        <f t="shared" si="2"/>
        <v>0</v>
      </c>
      <c r="N18" s="23" t="s">
        <v>34</v>
      </c>
      <c r="O18" s="7" t="s">
        <v>63</v>
      </c>
      <c r="P18" s="7" t="s">
        <v>64</v>
      </c>
      <c r="Q18" s="53" t="s">
        <v>65</v>
      </c>
      <c r="R18" s="35" t="s">
        <v>66</v>
      </c>
    </row>
    <row r="19" ht="33.75" spans="1:18">
      <c r="A19" s="5">
        <v>44769</v>
      </c>
      <c r="B19" s="5">
        <f ca="1" t="shared" si="0"/>
        <v>46019</v>
      </c>
      <c r="C19" s="6" t="s">
        <v>94</v>
      </c>
      <c r="D19" s="7" t="s">
        <v>19</v>
      </c>
      <c r="E19" s="7" t="s">
        <v>19</v>
      </c>
      <c r="F19" s="7" t="s">
        <v>18</v>
      </c>
      <c r="G19" s="7" t="s">
        <v>69</v>
      </c>
      <c r="H19" s="7" t="s">
        <v>62</v>
      </c>
      <c r="I19" s="19">
        <v>1</v>
      </c>
      <c r="J19" s="20">
        <v>425</v>
      </c>
      <c r="K19" s="21">
        <f t="shared" si="1"/>
        <v>425</v>
      </c>
      <c r="L19" s="22">
        <f>IF(K52="","",L18+1)</f>
        <v>11</v>
      </c>
      <c r="M19" s="22">
        <f t="shared" si="2"/>
        <v>0</v>
      </c>
      <c r="N19" s="23" t="s">
        <v>34</v>
      </c>
      <c r="O19" s="7" t="s">
        <v>63</v>
      </c>
      <c r="P19" s="7" t="s">
        <v>64</v>
      </c>
      <c r="Q19" s="53" t="s">
        <v>65</v>
      </c>
      <c r="R19" s="35" t="s">
        <v>66</v>
      </c>
    </row>
    <row r="20" ht="33.75" spans="1:18">
      <c r="A20" s="5">
        <v>44769</v>
      </c>
      <c r="B20" s="5">
        <f ca="1" t="shared" si="0"/>
        <v>46019</v>
      </c>
      <c r="C20" s="6" t="s">
        <v>95</v>
      </c>
      <c r="D20" s="7" t="s">
        <v>19</v>
      </c>
      <c r="E20" s="7" t="s">
        <v>19</v>
      </c>
      <c r="F20" s="7" t="s">
        <v>18</v>
      </c>
      <c r="G20" s="7" t="s">
        <v>69</v>
      </c>
      <c r="H20" s="7" t="s">
        <v>62</v>
      </c>
      <c r="I20" s="19">
        <v>1</v>
      </c>
      <c r="J20" s="20">
        <v>50</v>
      </c>
      <c r="K20" s="21">
        <f t="shared" si="1"/>
        <v>50</v>
      </c>
      <c r="L20" s="22">
        <v>12</v>
      </c>
      <c r="M20" s="22">
        <f t="shared" si="2"/>
        <v>0</v>
      </c>
      <c r="N20" s="23" t="s">
        <v>34</v>
      </c>
      <c r="O20" s="7" t="s">
        <v>63</v>
      </c>
      <c r="P20" s="7" t="s">
        <v>64</v>
      </c>
      <c r="Q20" s="53" t="s">
        <v>65</v>
      </c>
      <c r="R20" s="35" t="s">
        <v>66</v>
      </c>
    </row>
    <row r="21" ht="33.75" spans="1:18">
      <c r="A21" s="5">
        <v>44769</v>
      </c>
      <c r="B21" s="5">
        <f ca="1" t="shared" si="0"/>
        <v>46019</v>
      </c>
      <c r="C21" s="6" t="s">
        <v>96</v>
      </c>
      <c r="D21" s="7" t="s">
        <v>97</v>
      </c>
      <c r="E21" s="7" t="s">
        <v>19</v>
      </c>
      <c r="F21" s="7" t="s">
        <v>18</v>
      </c>
      <c r="G21" s="7" t="s">
        <v>69</v>
      </c>
      <c r="H21" s="7" t="s">
        <v>62</v>
      </c>
      <c r="I21" s="19">
        <v>1</v>
      </c>
      <c r="J21" s="20">
        <v>331</v>
      </c>
      <c r="K21" s="21">
        <f t="shared" si="1"/>
        <v>331</v>
      </c>
      <c r="L21" s="22">
        <f t="shared" si="3"/>
        <v>13</v>
      </c>
      <c r="M21" s="22">
        <f t="shared" si="2"/>
        <v>0</v>
      </c>
      <c r="N21" s="23" t="s">
        <v>34</v>
      </c>
      <c r="O21" s="7" t="s">
        <v>63</v>
      </c>
      <c r="P21" s="7" t="s">
        <v>64</v>
      </c>
      <c r="Q21" s="53" t="s">
        <v>65</v>
      </c>
      <c r="R21" s="35" t="s">
        <v>66</v>
      </c>
    </row>
    <row r="22" ht="33.75" spans="1:18">
      <c r="A22" s="5">
        <v>44769</v>
      </c>
      <c r="B22" s="5">
        <f ca="1" t="shared" si="0"/>
        <v>46019</v>
      </c>
      <c r="C22" s="6" t="s">
        <v>98</v>
      </c>
      <c r="D22" s="7" t="s">
        <v>99</v>
      </c>
      <c r="E22" s="7" t="s">
        <v>19</v>
      </c>
      <c r="F22" s="7" t="s">
        <v>18</v>
      </c>
      <c r="G22" s="7" t="s">
        <v>87</v>
      </c>
      <c r="H22" s="7" t="s">
        <v>100</v>
      </c>
      <c r="I22" s="19">
        <v>1</v>
      </c>
      <c r="J22" s="20">
        <v>765</v>
      </c>
      <c r="K22" s="21">
        <f t="shared" si="1"/>
        <v>765</v>
      </c>
      <c r="L22" s="22">
        <f t="shared" si="3"/>
        <v>14</v>
      </c>
      <c r="M22" s="22">
        <f t="shared" si="2"/>
        <v>0</v>
      </c>
      <c r="N22" s="23" t="s">
        <v>35</v>
      </c>
      <c r="O22" s="7" t="s">
        <v>63</v>
      </c>
      <c r="P22" s="7" t="s">
        <v>64</v>
      </c>
      <c r="Q22" s="53" t="s">
        <v>65</v>
      </c>
      <c r="R22" s="35" t="s">
        <v>66</v>
      </c>
    </row>
    <row r="23" ht="33.75" spans="1:18">
      <c r="A23" s="5">
        <v>44769</v>
      </c>
      <c r="B23" s="5">
        <f ca="1" t="shared" si="0"/>
        <v>46019</v>
      </c>
      <c r="C23" s="6" t="s">
        <v>101</v>
      </c>
      <c r="D23" s="7" t="s">
        <v>102</v>
      </c>
      <c r="E23" s="7" t="s">
        <v>19</v>
      </c>
      <c r="F23" s="7" t="s">
        <v>18</v>
      </c>
      <c r="G23" s="7" t="s">
        <v>87</v>
      </c>
      <c r="H23" s="7" t="s">
        <v>62</v>
      </c>
      <c r="I23" s="19">
        <v>1</v>
      </c>
      <c r="J23" s="20">
        <v>150</v>
      </c>
      <c r="K23" s="21">
        <f t="shared" si="1"/>
        <v>150</v>
      </c>
      <c r="L23" s="22">
        <f t="shared" si="3"/>
        <v>15</v>
      </c>
      <c r="M23" s="22">
        <f t="shared" si="2"/>
        <v>0</v>
      </c>
      <c r="N23" s="23" t="s">
        <v>27</v>
      </c>
      <c r="O23" s="7" t="s">
        <v>63</v>
      </c>
      <c r="P23" s="7" t="s">
        <v>64</v>
      </c>
      <c r="Q23" s="53" t="s">
        <v>65</v>
      </c>
      <c r="R23" s="35" t="s">
        <v>66</v>
      </c>
    </row>
    <row r="24" ht="33.75" spans="1:18">
      <c r="A24" s="5">
        <v>44769</v>
      </c>
      <c r="B24" s="5">
        <f ca="1" t="shared" si="0"/>
        <v>46019</v>
      </c>
      <c r="C24" s="6" t="s">
        <v>103</v>
      </c>
      <c r="D24" s="7" t="s">
        <v>104</v>
      </c>
      <c r="E24" s="7" t="s">
        <v>19</v>
      </c>
      <c r="F24" s="7" t="s">
        <v>18</v>
      </c>
      <c r="G24" s="7" t="s">
        <v>105</v>
      </c>
      <c r="H24" s="7" t="s">
        <v>62</v>
      </c>
      <c r="I24" s="19">
        <v>1</v>
      </c>
      <c r="J24" s="20">
        <v>20</v>
      </c>
      <c r="K24" s="21">
        <f t="shared" si="1"/>
        <v>20</v>
      </c>
      <c r="L24" s="22">
        <f t="shared" si="3"/>
        <v>16</v>
      </c>
      <c r="M24" s="22">
        <f t="shared" si="2"/>
        <v>0</v>
      </c>
      <c r="N24" s="23" t="s">
        <v>27</v>
      </c>
      <c r="O24" s="7" t="s">
        <v>63</v>
      </c>
      <c r="P24" s="7" t="s">
        <v>64</v>
      </c>
      <c r="Q24" s="53" t="s">
        <v>65</v>
      </c>
      <c r="R24" s="35" t="s">
        <v>66</v>
      </c>
    </row>
    <row r="25" ht="33.75" spans="1:18">
      <c r="A25" s="5">
        <v>44769</v>
      </c>
      <c r="B25" s="5">
        <f ca="1" t="shared" si="0"/>
        <v>46019</v>
      </c>
      <c r="C25" s="6" t="s">
        <v>106</v>
      </c>
      <c r="D25" s="7" t="s">
        <v>19</v>
      </c>
      <c r="E25" s="7" t="s">
        <v>19</v>
      </c>
      <c r="F25" s="7" t="s">
        <v>18</v>
      </c>
      <c r="G25" s="7" t="s">
        <v>25</v>
      </c>
      <c r="H25" s="7" t="s">
        <v>100</v>
      </c>
      <c r="I25" s="19">
        <v>2</v>
      </c>
      <c r="J25" s="20">
        <v>50</v>
      </c>
      <c r="K25" s="21">
        <f t="shared" si="1"/>
        <v>100</v>
      </c>
      <c r="L25" s="22">
        <f t="shared" si="3"/>
        <v>17</v>
      </c>
      <c r="M25" s="22">
        <f t="shared" si="2"/>
        <v>0</v>
      </c>
      <c r="N25" s="23" t="s">
        <v>34</v>
      </c>
      <c r="O25" s="7" t="s">
        <v>63</v>
      </c>
      <c r="P25" s="7" t="s">
        <v>64</v>
      </c>
      <c r="Q25" s="53" t="s">
        <v>65</v>
      </c>
      <c r="R25" s="35" t="s">
        <v>66</v>
      </c>
    </row>
    <row r="26" ht="33.75" spans="1:18">
      <c r="A26" s="5">
        <v>44769</v>
      </c>
      <c r="B26" s="5">
        <f ca="1" t="shared" si="0"/>
        <v>46019</v>
      </c>
      <c r="C26" s="6" t="s">
        <v>107</v>
      </c>
      <c r="D26" s="7" t="s">
        <v>108</v>
      </c>
      <c r="E26" s="7" t="s">
        <v>19</v>
      </c>
      <c r="F26" s="7" t="s">
        <v>18</v>
      </c>
      <c r="G26" s="7" t="s">
        <v>105</v>
      </c>
      <c r="H26" s="7" t="s">
        <v>62</v>
      </c>
      <c r="I26" s="19">
        <v>4</v>
      </c>
      <c r="J26" s="20">
        <v>70</v>
      </c>
      <c r="K26" s="21">
        <f t="shared" si="1"/>
        <v>280</v>
      </c>
      <c r="L26" s="22">
        <f t="shared" si="3"/>
        <v>18</v>
      </c>
      <c r="M26" s="22">
        <f t="shared" si="2"/>
        <v>0</v>
      </c>
      <c r="N26" s="23" t="s">
        <v>34</v>
      </c>
      <c r="O26" s="7" t="s">
        <v>63</v>
      </c>
      <c r="P26" s="7" t="s">
        <v>64</v>
      </c>
      <c r="Q26" s="53" t="s">
        <v>65</v>
      </c>
      <c r="R26" s="35" t="s">
        <v>66</v>
      </c>
    </row>
    <row r="27" ht="33.75" spans="1:18">
      <c r="A27" s="5">
        <v>44769</v>
      </c>
      <c r="B27" s="5">
        <f ca="1" t="shared" si="0"/>
        <v>46019</v>
      </c>
      <c r="C27" s="6" t="s">
        <v>109</v>
      </c>
      <c r="D27" s="7" t="s">
        <v>19</v>
      </c>
      <c r="E27" s="7" t="s">
        <v>19</v>
      </c>
      <c r="F27" s="7" t="s">
        <v>18</v>
      </c>
      <c r="G27" s="7" t="s">
        <v>81</v>
      </c>
      <c r="H27" s="7" t="s">
        <v>62</v>
      </c>
      <c r="I27" s="19">
        <v>2</v>
      </c>
      <c r="J27" s="20">
        <v>25</v>
      </c>
      <c r="K27" s="21">
        <f t="shared" si="1"/>
        <v>50</v>
      </c>
      <c r="L27" s="22">
        <f t="shared" si="3"/>
        <v>19</v>
      </c>
      <c r="M27" s="22">
        <f t="shared" si="2"/>
        <v>0</v>
      </c>
      <c r="N27" s="23" t="s">
        <v>34</v>
      </c>
      <c r="O27" s="7" t="s">
        <v>63</v>
      </c>
      <c r="P27" s="7" t="s">
        <v>64</v>
      </c>
      <c r="Q27" s="53" t="s">
        <v>65</v>
      </c>
      <c r="R27" s="35" t="s">
        <v>66</v>
      </c>
    </row>
    <row r="28" ht="33.75" spans="1:18">
      <c r="A28" s="5">
        <v>44769</v>
      </c>
      <c r="B28" s="5">
        <f ca="1" t="shared" si="0"/>
        <v>46019</v>
      </c>
      <c r="C28" s="6" t="s">
        <v>110</v>
      </c>
      <c r="D28" s="7" t="s">
        <v>19</v>
      </c>
      <c r="E28" s="7" t="s">
        <v>19</v>
      </c>
      <c r="F28" s="7" t="s">
        <v>18</v>
      </c>
      <c r="G28" s="7" t="s">
        <v>105</v>
      </c>
      <c r="H28" s="7" t="s">
        <v>62</v>
      </c>
      <c r="I28" s="19">
        <v>3</v>
      </c>
      <c r="J28" s="20">
        <v>10</v>
      </c>
      <c r="K28" s="21">
        <f t="shared" si="1"/>
        <v>30</v>
      </c>
      <c r="L28" s="22">
        <f t="shared" si="3"/>
        <v>20</v>
      </c>
      <c r="M28" s="22">
        <f t="shared" si="2"/>
        <v>0</v>
      </c>
      <c r="N28" s="23" t="s">
        <v>34</v>
      </c>
      <c r="O28" s="7" t="s">
        <v>63</v>
      </c>
      <c r="P28" s="7" t="s">
        <v>64</v>
      </c>
      <c r="Q28" s="53" t="s">
        <v>65</v>
      </c>
      <c r="R28" s="35" t="s">
        <v>66</v>
      </c>
    </row>
    <row r="29" ht="33.75" spans="1:18">
      <c r="A29" s="5">
        <v>44769</v>
      </c>
      <c r="B29" s="5">
        <f ca="1" t="shared" si="0"/>
        <v>46019</v>
      </c>
      <c r="C29" s="6" t="s">
        <v>111</v>
      </c>
      <c r="D29" s="7" t="s">
        <v>19</v>
      </c>
      <c r="E29" s="7" t="s">
        <v>19</v>
      </c>
      <c r="F29" s="7" t="s">
        <v>18</v>
      </c>
      <c r="G29" s="7" t="s">
        <v>105</v>
      </c>
      <c r="H29" s="7" t="s">
        <v>62</v>
      </c>
      <c r="I29" s="19">
        <v>4</v>
      </c>
      <c r="J29" s="20">
        <v>10</v>
      </c>
      <c r="K29" s="21">
        <f t="shared" si="1"/>
        <v>40</v>
      </c>
      <c r="L29" s="22">
        <f t="shared" si="3"/>
        <v>21</v>
      </c>
      <c r="M29" s="22">
        <f t="shared" si="2"/>
        <v>0</v>
      </c>
      <c r="N29" s="23" t="s">
        <v>34</v>
      </c>
      <c r="O29" s="7" t="s">
        <v>63</v>
      </c>
      <c r="P29" s="7" t="s">
        <v>64</v>
      </c>
      <c r="Q29" s="53" t="s">
        <v>65</v>
      </c>
      <c r="R29" s="35" t="s">
        <v>66</v>
      </c>
    </row>
    <row r="30" ht="33.75" spans="1:18">
      <c r="A30" s="5">
        <v>44769</v>
      </c>
      <c r="B30" s="5">
        <f ca="1" t="shared" si="0"/>
        <v>46019</v>
      </c>
      <c r="C30" s="6" t="s">
        <v>112</v>
      </c>
      <c r="D30" s="7" t="s">
        <v>19</v>
      </c>
      <c r="E30" s="7" t="s">
        <v>19</v>
      </c>
      <c r="F30" s="7" t="s">
        <v>18</v>
      </c>
      <c r="G30" s="7" t="s">
        <v>105</v>
      </c>
      <c r="H30" s="7" t="s">
        <v>62</v>
      </c>
      <c r="I30" s="19">
        <v>1</v>
      </c>
      <c r="J30" s="20">
        <v>15</v>
      </c>
      <c r="K30" s="21">
        <f t="shared" si="1"/>
        <v>15</v>
      </c>
      <c r="L30" s="22">
        <f t="shared" si="3"/>
        <v>22</v>
      </c>
      <c r="M30" s="22">
        <f t="shared" si="2"/>
        <v>0</v>
      </c>
      <c r="N30" s="23" t="s">
        <v>34</v>
      </c>
      <c r="O30" s="7" t="s">
        <v>63</v>
      </c>
      <c r="P30" s="7" t="s">
        <v>64</v>
      </c>
      <c r="Q30" s="53" t="s">
        <v>65</v>
      </c>
      <c r="R30" s="35" t="s">
        <v>66</v>
      </c>
    </row>
    <row r="31" ht="56.25" spans="1:18">
      <c r="A31" s="5">
        <v>44769</v>
      </c>
      <c r="B31" s="5">
        <f ca="1" t="shared" si="0"/>
        <v>46019</v>
      </c>
      <c r="C31" s="6" t="s">
        <v>113</v>
      </c>
      <c r="D31" s="7" t="s">
        <v>19</v>
      </c>
      <c r="E31" s="7" t="s">
        <v>19</v>
      </c>
      <c r="F31" s="7" t="s">
        <v>18</v>
      </c>
      <c r="G31" s="7" t="s">
        <v>105</v>
      </c>
      <c r="H31" s="7" t="s">
        <v>62</v>
      </c>
      <c r="I31" s="19">
        <v>1</v>
      </c>
      <c r="J31" s="20">
        <v>10</v>
      </c>
      <c r="K31" s="21">
        <f t="shared" si="1"/>
        <v>10</v>
      </c>
      <c r="L31" s="22">
        <f t="shared" si="3"/>
        <v>23</v>
      </c>
      <c r="M31" s="22">
        <f t="shared" si="2"/>
        <v>0</v>
      </c>
      <c r="N31" s="23" t="s">
        <v>34</v>
      </c>
      <c r="O31" s="7" t="s">
        <v>63</v>
      </c>
      <c r="P31" s="7" t="s">
        <v>64</v>
      </c>
      <c r="Q31" s="53" t="s">
        <v>65</v>
      </c>
      <c r="R31" s="35" t="s">
        <v>66</v>
      </c>
    </row>
    <row r="32" ht="33.75" spans="1:18">
      <c r="A32" s="5">
        <v>44769</v>
      </c>
      <c r="B32" s="5">
        <f ca="1" t="shared" si="0"/>
        <v>46019</v>
      </c>
      <c r="C32" s="6" t="s">
        <v>114</v>
      </c>
      <c r="D32" s="7" t="s">
        <v>115</v>
      </c>
      <c r="E32" s="7" t="s">
        <v>19</v>
      </c>
      <c r="F32" s="7" t="s">
        <v>18</v>
      </c>
      <c r="G32" s="7" t="s">
        <v>105</v>
      </c>
      <c r="H32" s="7" t="s">
        <v>62</v>
      </c>
      <c r="I32" s="19">
        <v>1</v>
      </c>
      <c r="J32" s="20">
        <v>20</v>
      </c>
      <c r="K32" s="21">
        <f t="shared" si="1"/>
        <v>20</v>
      </c>
      <c r="L32" s="22">
        <f t="shared" si="3"/>
        <v>24</v>
      </c>
      <c r="M32" s="22">
        <f t="shared" si="2"/>
        <v>0</v>
      </c>
      <c r="N32" s="23" t="s">
        <v>34</v>
      </c>
      <c r="O32" s="7" t="s">
        <v>63</v>
      </c>
      <c r="P32" s="7" t="s">
        <v>64</v>
      </c>
      <c r="Q32" s="53" t="s">
        <v>65</v>
      </c>
      <c r="R32" s="35" t="s">
        <v>66</v>
      </c>
    </row>
    <row r="33" ht="33.75" spans="1:18">
      <c r="A33" s="5">
        <v>44769</v>
      </c>
      <c r="B33" s="5">
        <f ca="1" t="shared" si="0"/>
        <v>46019</v>
      </c>
      <c r="C33" s="6" t="s">
        <v>116</v>
      </c>
      <c r="D33" s="7" t="s">
        <v>19</v>
      </c>
      <c r="E33" s="7" t="s">
        <v>19</v>
      </c>
      <c r="F33" s="7" t="s">
        <v>18</v>
      </c>
      <c r="G33" s="7" t="s">
        <v>105</v>
      </c>
      <c r="H33" s="7" t="s">
        <v>62</v>
      </c>
      <c r="I33" s="19">
        <v>1</v>
      </c>
      <c r="J33" s="20">
        <v>7.35</v>
      </c>
      <c r="K33" s="21">
        <f t="shared" si="1"/>
        <v>7.35</v>
      </c>
      <c r="L33" s="22">
        <f t="shared" si="3"/>
        <v>25</v>
      </c>
      <c r="M33" s="22">
        <f t="shared" si="2"/>
        <v>0</v>
      </c>
      <c r="N33" s="23" t="s">
        <v>27</v>
      </c>
      <c r="O33" s="7" t="s">
        <v>63</v>
      </c>
      <c r="P33" s="7" t="s">
        <v>64</v>
      </c>
      <c r="Q33" s="53" t="s">
        <v>65</v>
      </c>
      <c r="R33" s="35" t="s">
        <v>66</v>
      </c>
    </row>
    <row r="34" ht="33.75" spans="1:18">
      <c r="A34" s="5">
        <v>44769</v>
      </c>
      <c r="B34" s="5">
        <f ca="1" t="shared" si="0"/>
        <v>46019</v>
      </c>
      <c r="C34" s="6" t="s">
        <v>117</v>
      </c>
      <c r="D34" s="7" t="s">
        <v>19</v>
      </c>
      <c r="E34" s="7" t="s">
        <v>19</v>
      </c>
      <c r="F34" s="7" t="s">
        <v>18</v>
      </c>
      <c r="G34" s="7" t="s">
        <v>118</v>
      </c>
      <c r="H34" s="7" t="s">
        <v>62</v>
      </c>
      <c r="I34" s="19">
        <v>5</v>
      </c>
      <c r="J34" s="20">
        <v>40</v>
      </c>
      <c r="K34" s="21">
        <v>200</v>
      </c>
      <c r="L34" s="22">
        <f t="shared" si="3"/>
        <v>26</v>
      </c>
      <c r="M34" s="22">
        <f t="shared" si="2"/>
        <v>0</v>
      </c>
      <c r="N34" s="23" t="s">
        <v>34</v>
      </c>
      <c r="O34" s="7" t="s">
        <v>63</v>
      </c>
      <c r="P34" s="7" t="s">
        <v>64</v>
      </c>
      <c r="Q34" s="53" t="s">
        <v>65</v>
      </c>
      <c r="R34" s="35" t="s">
        <v>66</v>
      </c>
    </row>
    <row r="35" ht="33.75" spans="1:18">
      <c r="A35" s="5">
        <v>44769</v>
      </c>
      <c r="B35" s="5">
        <f ca="1" t="shared" si="0"/>
        <v>46019</v>
      </c>
      <c r="C35" s="6" t="s">
        <v>119</v>
      </c>
      <c r="D35" s="7" t="s">
        <v>19</v>
      </c>
      <c r="E35" s="7" t="s">
        <v>19</v>
      </c>
      <c r="F35" s="7" t="s">
        <v>18</v>
      </c>
      <c r="G35" s="7" t="s">
        <v>120</v>
      </c>
      <c r="H35" s="7" t="s">
        <v>121</v>
      </c>
      <c r="I35" s="19">
        <v>1</v>
      </c>
      <c r="J35" s="20">
        <v>20</v>
      </c>
      <c r="K35" s="21">
        <f t="shared" si="1"/>
        <v>20</v>
      </c>
      <c r="L35" s="22">
        <f t="shared" si="3"/>
        <v>27</v>
      </c>
      <c r="M35" s="22">
        <f t="shared" si="2"/>
        <v>0</v>
      </c>
      <c r="N35" s="23" t="s">
        <v>35</v>
      </c>
      <c r="O35" s="7" t="s">
        <v>63</v>
      </c>
      <c r="P35" s="7" t="s">
        <v>64</v>
      </c>
      <c r="Q35" s="53" t="s">
        <v>65</v>
      </c>
      <c r="R35" s="35" t="s">
        <v>66</v>
      </c>
    </row>
    <row r="36" ht="33.75" spans="1:18">
      <c r="A36" s="5">
        <v>44769</v>
      </c>
      <c r="B36" s="5">
        <f ca="1" t="shared" si="0"/>
        <v>46019</v>
      </c>
      <c r="C36" s="6" t="s">
        <v>122</v>
      </c>
      <c r="D36" s="7" t="s">
        <v>19</v>
      </c>
      <c r="E36" s="7" t="s">
        <v>19</v>
      </c>
      <c r="F36" s="7" t="s">
        <v>18</v>
      </c>
      <c r="G36" s="7" t="s">
        <v>123</v>
      </c>
      <c r="H36" s="7" t="s">
        <v>124</v>
      </c>
      <c r="I36" s="19">
        <v>7</v>
      </c>
      <c r="J36" s="20">
        <v>2</v>
      </c>
      <c r="K36" s="21">
        <f t="shared" si="1"/>
        <v>14</v>
      </c>
      <c r="L36" s="22">
        <f t="shared" si="3"/>
        <v>28</v>
      </c>
      <c r="M36" s="22">
        <f t="shared" si="2"/>
        <v>0</v>
      </c>
      <c r="N36" s="23" t="s">
        <v>34</v>
      </c>
      <c r="O36" s="7" t="s">
        <v>63</v>
      </c>
      <c r="P36" s="7" t="s">
        <v>64</v>
      </c>
      <c r="Q36" s="53" t="s">
        <v>65</v>
      </c>
      <c r="R36" s="35" t="s">
        <v>66</v>
      </c>
    </row>
    <row r="37" ht="33.75" spans="1:18">
      <c r="A37" s="5">
        <v>44769</v>
      </c>
      <c r="B37" s="5">
        <f ca="1" t="shared" si="0"/>
        <v>46019</v>
      </c>
      <c r="C37" s="6" t="s">
        <v>125</v>
      </c>
      <c r="D37" s="7" t="s">
        <v>19</v>
      </c>
      <c r="E37" s="7" t="s">
        <v>19</v>
      </c>
      <c r="F37" s="7" t="s">
        <v>18</v>
      </c>
      <c r="G37" s="7" t="s">
        <v>61</v>
      </c>
      <c r="H37" s="7" t="s">
        <v>62</v>
      </c>
      <c r="I37" s="19">
        <v>1</v>
      </c>
      <c r="J37" s="20">
        <v>40</v>
      </c>
      <c r="K37" s="21">
        <f t="shared" si="1"/>
        <v>40</v>
      </c>
      <c r="L37" s="22">
        <f t="shared" si="3"/>
        <v>29</v>
      </c>
      <c r="M37" s="22">
        <f t="shared" si="2"/>
        <v>0</v>
      </c>
      <c r="N37" s="23" t="s">
        <v>34</v>
      </c>
      <c r="O37" s="7" t="s">
        <v>63</v>
      </c>
      <c r="P37" s="7" t="s">
        <v>64</v>
      </c>
      <c r="Q37" s="53" t="s">
        <v>65</v>
      </c>
      <c r="R37" s="35" t="s">
        <v>66</v>
      </c>
    </row>
    <row r="38" ht="33.75" spans="1:18">
      <c r="A38" s="5">
        <v>44769</v>
      </c>
      <c r="B38" s="5">
        <f ca="1" t="shared" si="0"/>
        <v>46019</v>
      </c>
      <c r="C38" s="6" t="s">
        <v>126</v>
      </c>
      <c r="D38" s="7" t="s">
        <v>19</v>
      </c>
      <c r="E38" s="7" t="s">
        <v>19</v>
      </c>
      <c r="F38" s="7" t="s">
        <v>18</v>
      </c>
      <c r="G38" s="7" t="s">
        <v>127</v>
      </c>
      <c r="H38" s="7" t="s">
        <v>62</v>
      </c>
      <c r="I38" s="19">
        <v>1</v>
      </c>
      <c r="J38" s="20">
        <v>5</v>
      </c>
      <c r="K38" s="21">
        <f t="shared" si="1"/>
        <v>5</v>
      </c>
      <c r="L38" s="22">
        <f t="shared" si="3"/>
        <v>30</v>
      </c>
      <c r="M38" s="22">
        <f t="shared" si="2"/>
        <v>1</v>
      </c>
      <c r="N38" s="23" t="s">
        <v>35</v>
      </c>
      <c r="O38" s="7" t="s">
        <v>63</v>
      </c>
      <c r="P38" s="7" t="s">
        <v>64</v>
      </c>
      <c r="Q38" s="53" t="s">
        <v>65</v>
      </c>
      <c r="R38" s="35" t="s">
        <v>66</v>
      </c>
    </row>
    <row r="39" ht="33.75" spans="1:18">
      <c r="A39" s="5">
        <v>44769</v>
      </c>
      <c r="B39" s="5">
        <f ca="1" t="shared" si="0"/>
        <v>46019</v>
      </c>
      <c r="C39" s="6" t="s">
        <v>128</v>
      </c>
      <c r="D39" s="7" t="s">
        <v>19</v>
      </c>
      <c r="E39" s="7" t="s">
        <v>19</v>
      </c>
      <c r="F39" s="7" t="s">
        <v>18</v>
      </c>
      <c r="G39" s="7" t="s">
        <v>129</v>
      </c>
      <c r="H39" s="7" t="s">
        <v>62</v>
      </c>
      <c r="I39" s="19">
        <v>1</v>
      </c>
      <c r="J39" s="20">
        <v>30</v>
      </c>
      <c r="K39" s="21">
        <f t="shared" si="1"/>
        <v>30</v>
      </c>
      <c r="L39" s="22">
        <f t="shared" si="3"/>
        <v>31</v>
      </c>
      <c r="M39" s="22">
        <f t="shared" si="2"/>
        <v>1</v>
      </c>
      <c r="N39" s="23" t="s">
        <v>27</v>
      </c>
      <c r="O39" s="7" t="s">
        <v>63</v>
      </c>
      <c r="P39" s="7" t="s">
        <v>64</v>
      </c>
      <c r="Q39" s="53" t="s">
        <v>65</v>
      </c>
      <c r="R39" s="35" t="s">
        <v>66</v>
      </c>
    </row>
    <row r="40" ht="33.75" spans="1:18">
      <c r="A40" s="5">
        <v>44769</v>
      </c>
      <c r="B40" s="5">
        <f ca="1" t="shared" si="0"/>
        <v>46019</v>
      </c>
      <c r="C40" s="6" t="s">
        <v>130</v>
      </c>
      <c r="D40" s="7" t="s">
        <v>19</v>
      </c>
      <c r="E40" s="7" t="s">
        <v>19</v>
      </c>
      <c r="F40" s="7" t="s">
        <v>18</v>
      </c>
      <c r="G40" s="7" t="s">
        <v>127</v>
      </c>
      <c r="H40" s="7" t="s">
        <v>62</v>
      </c>
      <c r="I40" s="19">
        <v>1</v>
      </c>
      <c r="J40" s="20">
        <v>30</v>
      </c>
      <c r="K40" s="21">
        <f t="shared" si="1"/>
        <v>30</v>
      </c>
      <c r="L40" s="22">
        <f t="shared" si="3"/>
        <v>32</v>
      </c>
      <c r="M40" s="22">
        <f t="shared" si="2"/>
        <v>1</v>
      </c>
      <c r="N40" s="23" t="s">
        <v>27</v>
      </c>
      <c r="O40" s="7" t="s">
        <v>63</v>
      </c>
      <c r="P40" s="7" t="s">
        <v>64</v>
      </c>
      <c r="Q40" s="53" t="s">
        <v>65</v>
      </c>
      <c r="R40" s="35" t="s">
        <v>66</v>
      </c>
    </row>
    <row r="41" ht="33.75" spans="1:18">
      <c r="A41" s="5">
        <v>44769</v>
      </c>
      <c r="B41" s="5">
        <v>44615</v>
      </c>
      <c r="C41" s="6" t="s">
        <v>131</v>
      </c>
      <c r="D41" s="7" t="s">
        <v>19</v>
      </c>
      <c r="E41" s="7" t="s">
        <v>19</v>
      </c>
      <c r="F41" s="7" t="s">
        <v>18</v>
      </c>
      <c r="G41" s="7" t="s">
        <v>105</v>
      </c>
      <c r="H41" s="7" t="s">
        <v>132</v>
      </c>
      <c r="I41" s="19">
        <v>2</v>
      </c>
      <c r="J41" s="20">
        <v>3</v>
      </c>
      <c r="K41" s="21">
        <v>6</v>
      </c>
      <c r="L41" s="22">
        <f t="shared" si="3"/>
        <v>33</v>
      </c>
      <c r="M41" s="22">
        <v>0</v>
      </c>
      <c r="N41" s="23" t="s">
        <v>34</v>
      </c>
      <c r="O41" s="7" t="s">
        <v>133</v>
      </c>
      <c r="P41" s="7" t="s">
        <v>64</v>
      </c>
      <c r="Q41" s="53" t="s">
        <v>65</v>
      </c>
      <c r="R41" s="35" t="s">
        <v>66</v>
      </c>
    </row>
    <row r="42" ht="33.75" spans="1:18">
      <c r="A42" s="5">
        <v>44769</v>
      </c>
      <c r="B42" s="5">
        <v>44615</v>
      </c>
      <c r="C42" s="6" t="s">
        <v>134</v>
      </c>
      <c r="D42" s="7" t="s">
        <v>19</v>
      </c>
      <c r="E42" s="7" t="s">
        <v>19</v>
      </c>
      <c r="F42" s="7" t="s">
        <v>18</v>
      </c>
      <c r="G42" s="7" t="s">
        <v>105</v>
      </c>
      <c r="H42" s="7" t="s">
        <v>132</v>
      </c>
      <c r="I42" s="19">
        <v>1</v>
      </c>
      <c r="J42" s="20">
        <v>5</v>
      </c>
      <c r="K42" s="21">
        <v>5</v>
      </c>
      <c r="L42" s="22">
        <f t="shared" si="3"/>
        <v>34</v>
      </c>
      <c r="M42" s="22">
        <v>0</v>
      </c>
      <c r="N42" s="23" t="s">
        <v>27</v>
      </c>
      <c r="O42" s="7" t="s">
        <v>133</v>
      </c>
      <c r="P42" s="7" t="s">
        <v>64</v>
      </c>
      <c r="Q42" s="53" t="s">
        <v>65</v>
      </c>
      <c r="R42" s="35" t="s">
        <v>66</v>
      </c>
    </row>
    <row r="43" ht="33.75" spans="1:18">
      <c r="A43" s="5">
        <v>44769</v>
      </c>
      <c r="B43" s="5">
        <v>44615</v>
      </c>
      <c r="C43" s="6" t="s">
        <v>82</v>
      </c>
      <c r="D43" s="7" t="s">
        <v>135</v>
      </c>
      <c r="E43" s="7" t="s">
        <v>136</v>
      </c>
      <c r="F43" s="7" t="s">
        <v>18</v>
      </c>
      <c r="G43" s="7" t="s">
        <v>81</v>
      </c>
      <c r="H43" s="7" t="s">
        <v>132</v>
      </c>
      <c r="I43" s="19">
        <v>1</v>
      </c>
      <c r="J43" s="20">
        <v>130</v>
      </c>
      <c r="K43" s="21">
        <v>130</v>
      </c>
      <c r="L43" s="22">
        <f t="shared" si="3"/>
        <v>35</v>
      </c>
      <c r="M43" s="22">
        <v>0</v>
      </c>
      <c r="N43" s="23" t="s">
        <v>34</v>
      </c>
      <c r="O43" s="7" t="s">
        <v>133</v>
      </c>
      <c r="P43" s="7" t="s">
        <v>64</v>
      </c>
      <c r="Q43" s="53" t="s">
        <v>65</v>
      </c>
      <c r="R43" s="35" t="s">
        <v>66</v>
      </c>
    </row>
    <row r="44" ht="33.75" spans="1:18">
      <c r="A44" s="5">
        <v>44769</v>
      </c>
      <c r="B44" s="5">
        <v>44615</v>
      </c>
      <c r="C44" s="6" t="s">
        <v>137</v>
      </c>
      <c r="D44" s="7" t="s">
        <v>138</v>
      </c>
      <c r="E44" s="7" t="s">
        <v>139</v>
      </c>
      <c r="F44" s="7" t="s">
        <v>18</v>
      </c>
      <c r="G44" s="7" t="s">
        <v>140</v>
      </c>
      <c r="H44" s="7" t="s">
        <v>132</v>
      </c>
      <c r="I44" s="19">
        <v>1</v>
      </c>
      <c r="J44" s="20">
        <v>120</v>
      </c>
      <c r="K44" s="21">
        <v>240</v>
      </c>
      <c r="L44" s="22">
        <f t="shared" si="3"/>
        <v>36</v>
      </c>
      <c r="M44" s="22">
        <v>0</v>
      </c>
      <c r="N44" s="23" t="s">
        <v>34</v>
      </c>
      <c r="O44" s="7" t="s">
        <v>133</v>
      </c>
      <c r="P44" s="7" t="s">
        <v>64</v>
      </c>
      <c r="Q44" s="53" t="s">
        <v>65</v>
      </c>
      <c r="R44" s="35" t="s">
        <v>66</v>
      </c>
    </row>
    <row r="45" ht="33.75" spans="1:18">
      <c r="A45" s="5">
        <v>44769</v>
      </c>
      <c r="B45" s="5">
        <v>44615</v>
      </c>
      <c r="C45" s="6" t="s">
        <v>141</v>
      </c>
      <c r="D45" s="7" t="s">
        <v>19</v>
      </c>
      <c r="E45" s="7" t="s">
        <v>142</v>
      </c>
      <c r="F45" s="7" t="s">
        <v>18</v>
      </c>
      <c r="G45" s="7" t="s">
        <v>87</v>
      </c>
      <c r="H45" s="7" t="s">
        <v>132</v>
      </c>
      <c r="I45" s="19">
        <v>1</v>
      </c>
      <c r="J45" s="20">
        <v>25</v>
      </c>
      <c r="K45" s="21">
        <v>25</v>
      </c>
      <c r="L45" s="22">
        <f t="shared" si="3"/>
        <v>37</v>
      </c>
      <c r="M45" s="22">
        <v>0</v>
      </c>
      <c r="N45" s="23" t="s">
        <v>27</v>
      </c>
      <c r="O45" s="7" t="s">
        <v>133</v>
      </c>
      <c r="P45" s="7" t="s">
        <v>64</v>
      </c>
      <c r="Q45" s="53" t="s">
        <v>65</v>
      </c>
      <c r="R45" s="35" t="s">
        <v>66</v>
      </c>
    </row>
    <row r="46" ht="33.75" spans="1:18">
      <c r="A46" s="5">
        <v>44769</v>
      </c>
      <c r="B46" s="5">
        <v>44615</v>
      </c>
      <c r="C46" s="6" t="s">
        <v>143</v>
      </c>
      <c r="D46" s="7" t="s">
        <v>19</v>
      </c>
      <c r="E46" s="7" t="s">
        <v>19</v>
      </c>
      <c r="F46" s="7" t="s">
        <v>18</v>
      </c>
      <c r="G46" s="7" t="s">
        <v>129</v>
      </c>
      <c r="H46" s="7" t="s">
        <v>132</v>
      </c>
      <c r="I46" s="19">
        <v>1</v>
      </c>
      <c r="J46" s="20">
        <v>10</v>
      </c>
      <c r="K46" s="21">
        <v>10</v>
      </c>
      <c r="L46" s="22"/>
      <c r="M46" s="22">
        <v>0</v>
      </c>
      <c r="N46" s="23" t="s">
        <v>35</v>
      </c>
      <c r="O46" s="7" t="s">
        <v>133</v>
      </c>
      <c r="P46" s="7" t="s">
        <v>64</v>
      </c>
      <c r="Q46" s="53" t="s">
        <v>65</v>
      </c>
      <c r="R46" s="35" t="s">
        <v>66</v>
      </c>
    </row>
    <row r="47" ht="33.75" spans="1:18">
      <c r="A47" s="5">
        <v>44769</v>
      </c>
      <c r="B47" s="5">
        <v>44615</v>
      </c>
      <c r="C47" s="6" t="s">
        <v>75</v>
      </c>
      <c r="D47" s="7" t="s">
        <v>144</v>
      </c>
      <c r="E47" s="7" t="s">
        <v>145</v>
      </c>
      <c r="F47" s="7" t="s">
        <v>146</v>
      </c>
      <c r="G47" s="7" t="s">
        <v>147</v>
      </c>
      <c r="H47" s="7" t="s">
        <v>132</v>
      </c>
      <c r="I47" s="19">
        <v>1</v>
      </c>
      <c r="J47" s="20">
        <v>150</v>
      </c>
      <c r="K47" s="21">
        <v>150</v>
      </c>
      <c r="L47" s="22">
        <v>39</v>
      </c>
      <c r="M47" s="22">
        <v>0</v>
      </c>
      <c r="N47" s="23" t="s">
        <v>35</v>
      </c>
      <c r="O47" s="7" t="s">
        <v>133</v>
      </c>
      <c r="P47" s="7" t="s">
        <v>64</v>
      </c>
      <c r="Q47" s="53" t="s">
        <v>65</v>
      </c>
      <c r="R47" s="35" t="s">
        <v>66</v>
      </c>
    </row>
    <row r="48" ht="33.75" spans="1:18">
      <c r="A48" s="5">
        <v>44769</v>
      </c>
      <c r="B48" s="5">
        <v>44615</v>
      </c>
      <c r="C48" s="6" t="s">
        <v>148</v>
      </c>
      <c r="D48" s="7" t="s">
        <v>149</v>
      </c>
      <c r="E48" s="7" t="s">
        <v>150</v>
      </c>
      <c r="F48" s="7" t="s">
        <v>151</v>
      </c>
      <c r="G48" s="7" t="s">
        <v>147</v>
      </c>
      <c r="H48" s="7" t="s">
        <v>132</v>
      </c>
      <c r="I48" s="19">
        <v>1</v>
      </c>
      <c r="J48" s="20">
        <v>80</v>
      </c>
      <c r="K48" s="21">
        <v>80</v>
      </c>
      <c r="L48" s="22">
        <v>40</v>
      </c>
      <c r="M48" s="22">
        <v>0</v>
      </c>
      <c r="N48" s="23" t="s">
        <v>34</v>
      </c>
      <c r="O48" s="7" t="s">
        <v>133</v>
      </c>
      <c r="P48" s="7" t="s">
        <v>64</v>
      </c>
      <c r="Q48" s="53" t="s">
        <v>65</v>
      </c>
      <c r="R48" s="35" t="s">
        <v>66</v>
      </c>
    </row>
    <row r="49" ht="33.75" spans="1:18">
      <c r="A49" s="5">
        <v>44769</v>
      </c>
      <c r="B49" s="5">
        <f ca="1" t="shared" si="0"/>
        <v>46019</v>
      </c>
      <c r="C49" s="6" t="s">
        <v>152</v>
      </c>
      <c r="D49" s="7" t="s">
        <v>153</v>
      </c>
      <c r="E49" s="7" t="s">
        <v>154</v>
      </c>
      <c r="F49" s="7" t="s">
        <v>18</v>
      </c>
      <c r="G49" s="7" t="s">
        <v>155</v>
      </c>
      <c r="H49" s="7" t="s">
        <v>62</v>
      </c>
      <c r="I49" s="19">
        <v>1</v>
      </c>
      <c r="J49" s="20">
        <v>62</v>
      </c>
      <c r="K49" s="21">
        <f t="shared" ref="K49" si="4">I49*J49</f>
        <v>62</v>
      </c>
      <c r="L49" s="22" t="e">
        <f>IF(#REF!="","",L48+1)</f>
        <v>#REF!</v>
      </c>
      <c r="M49" s="22">
        <f t="shared" ref="M49" si="5">INT(ROW()/38)</f>
        <v>1</v>
      </c>
      <c r="N49" s="23" t="s">
        <v>27</v>
      </c>
      <c r="O49" s="7" t="s">
        <v>63</v>
      </c>
      <c r="P49" s="7" t="s">
        <v>64</v>
      </c>
      <c r="Q49" s="53" t="s">
        <v>65</v>
      </c>
      <c r="R49" s="35" t="s">
        <v>66</v>
      </c>
    </row>
    <row r="50" ht="33.75" spans="1:18">
      <c r="A50" s="5">
        <v>44769</v>
      </c>
      <c r="B50" s="5">
        <f ca="1" t="shared" si="0"/>
        <v>46019</v>
      </c>
      <c r="C50" s="6" t="s">
        <v>156</v>
      </c>
      <c r="D50" s="7" t="s">
        <v>19</v>
      </c>
      <c r="E50" s="7" t="s">
        <v>19</v>
      </c>
      <c r="F50" s="7" t="s">
        <v>18</v>
      </c>
      <c r="G50" s="7" t="s">
        <v>25</v>
      </c>
      <c r="H50" s="7" t="s">
        <v>157</v>
      </c>
      <c r="I50" s="19">
        <v>1</v>
      </c>
      <c r="J50" s="20">
        <v>100</v>
      </c>
      <c r="K50" s="21">
        <f t="shared" ref="K50" si="6">I50*J50</f>
        <v>100</v>
      </c>
      <c r="L50" s="22">
        <v>45</v>
      </c>
      <c r="M50" s="22">
        <v>0</v>
      </c>
      <c r="N50" s="23" t="s">
        <v>34</v>
      </c>
      <c r="O50" s="7" t="s">
        <v>63</v>
      </c>
      <c r="P50" s="7" t="s">
        <v>64</v>
      </c>
      <c r="Q50" s="53" t="s">
        <v>65</v>
      </c>
      <c r="R50" s="35" t="s">
        <v>66</v>
      </c>
    </row>
    <row r="51" ht="33.75" spans="1:18">
      <c r="A51" s="5">
        <v>44769</v>
      </c>
      <c r="B51" s="5">
        <f ca="1" t="shared" si="0"/>
        <v>46019</v>
      </c>
      <c r="C51" s="6" t="s">
        <v>158</v>
      </c>
      <c r="D51" s="7" t="s">
        <v>19</v>
      </c>
      <c r="E51" s="7" t="s">
        <v>19</v>
      </c>
      <c r="F51" s="7" t="s">
        <v>18</v>
      </c>
      <c r="G51" s="7" t="s">
        <v>159</v>
      </c>
      <c r="H51" s="7" t="s">
        <v>157</v>
      </c>
      <c r="I51" s="19">
        <v>1</v>
      </c>
      <c r="J51" s="20">
        <v>30</v>
      </c>
      <c r="K51" s="21">
        <f t="shared" si="1"/>
        <v>30</v>
      </c>
      <c r="L51" s="22">
        <v>49</v>
      </c>
      <c r="M51" s="22">
        <v>0</v>
      </c>
      <c r="N51" s="23" t="s">
        <v>34</v>
      </c>
      <c r="O51" s="7" t="s">
        <v>63</v>
      </c>
      <c r="P51" s="7" t="s">
        <v>64</v>
      </c>
      <c r="Q51" s="53" t="s">
        <v>65</v>
      </c>
      <c r="R51" s="35" t="s">
        <v>66</v>
      </c>
    </row>
    <row r="52" spans="1:18">
      <c r="A52" s="8" t="s">
        <v>160</v>
      </c>
      <c r="B52" s="9"/>
      <c r="C52" s="9"/>
      <c r="D52" s="9"/>
      <c r="E52" s="9"/>
      <c r="F52" s="9"/>
      <c r="G52" s="9"/>
      <c r="H52" s="9"/>
      <c r="I52" s="9"/>
      <c r="J52" s="24"/>
      <c r="K52" s="25">
        <f>SUBTOTAL(9,K9:K51)</f>
        <v>6943.89</v>
      </c>
      <c r="L52" s="22"/>
      <c r="M52" s="26"/>
      <c r="N52" s="27"/>
      <c r="O52" s="27"/>
      <c r="P52" s="27"/>
      <c r="Q52" s="35"/>
      <c r="R52" s="35"/>
    </row>
    <row r="53" ht="15.75" spans="1:18">
      <c r="A53" s="10" t="s">
        <v>161</v>
      </c>
      <c r="B53" s="10"/>
      <c r="C53" s="10"/>
      <c r="D53" s="10"/>
      <c r="E53" s="10"/>
      <c r="F53" s="10"/>
      <c r="G53" s="10"/>
      <c r="H53" s="10"/>
      <c r="I53" s="10"/>
      <c r="J53" s="10"/>
      <c r="K53" s="10"/>
      <c r="L53" s="10"/>
      <c r="M53" s="10"/>
      <c r="N53" s="10"/>
      <c r="O53" s="10"/>
      <c r="P53" s="10"/>
      <c r="Q53" s="10"/>
      <c r="R53" s="10"/>
    </row>
    <row r="54" spans="1:18">
      <c r="A54" s="8" t="s">
        <v>160</v>
      </c>
      <c r="B54" s="11"/>
      <c r="C54" s="11"/>
      <c r="D54" s="11"/>
      <c r="E54" s="11"/>
      <c r="F54" s="11"/>
      <c r="G54" s="11"/>
      <c r="H54" s="11"/>
      <c r="I54" s="11"/>
      <c r="J54" s="28"/>
      <c r="K54" s="25">
        <f>SUM(K9:K51)</f>
        <v>6943.89</v>
      </c>
      <c r="L54" s="22"/>
      <c r="M54" s="26"/>
      <c r="N54" s="27"/>
      <c r="O54" s="27"/>
      <c r="P54" s="27"/>
      <c r="Q54" s="35"/>
      <c r="R54" s="35"/>
    </row>
    <row r="58" spans="2:2">
      <c r="B58" s="12"/>
    </row>
    <row r="59" spans="2:14">
      <c r="B59" s="13" t="s">
        <v>38</v>
      </c>
      <c r="C59" s="13"/>
      <c r="D59" s="13"/>
      <c r="E59" s="14"/>
      <c r="F59" s="14"/>
      <c r="G59" s="14"/>
      <c r="H59" s="14"/>
      <c r="I59" s="14"/>
      <c r="J59" s="14"/>
      <c r="K59" s="14" t="s">
        <v>39</v>
      </c>
      <c r="L59" s="14"/>
      <c r="M59" s="14"/>
      <c r="N59" s="14"/>
    </row>
    <row r="60" spans="2:14">
      <c r="B60" s="15"/>
      <c r="C60" s="15"/>
      <c r="D60" s="15"/>
      <c r="E60" s="14"/>
      <c r="F60" s="14"/>
      <c r="G60" s="14"/>
      <c r="H60" s="14"/>
      <c r="I60" s="14"/>
      <c r="J60" s="14"/>
      <c r="K60" s="15"/>
      <c r="L60" s="15"/>
      <c r="M60" s="15"/>
      <c r="N60" s="15"/>
    </row>
    <row r="62" ht="14.4" customHeight="1" spans="2:12">
      <c r="B62" s="16" t="s">
        <v>40</v>
      </c>
      <c r="C62" s="16"/>
      <c r="D62" s="16"/>
      <c r="K62" s="29" t="s">
        <v>162</v>
      </c>
      <c r="L62" s="30"/>
    </row>
    <row r="63" spans="2:14">
      <c r="B63" s="16" t="s">
        <v>42</v>
      </c>
      <c r="C63" s="16"/>
      <c r="D63" s="16"/>
      <c r="E63" s="16"/>
      <c r="F63" s="16"/>
      <c r="G63" s="14"/>
      <c r="H63" s="14"/>
      <c r="I63" s="31" t="s">
        <v>163</v>
      </c>
      <c r="J63" s="31"/>
      <c r="K63" s="31"/>
      <c r="L63" s="31"/>
      <c r="M63" s="31"/>
      <c r="N63" s="31"/>
    </row>
    <row r="64" spans="5:14">
      <c r="E64" s="17"/>
      <c r="F64" s="18"/>
      <c r="G64" s="14"/>
      <c r="H64" s="14"/>
      <c r="I64" s="14"/>
      <c r="J64" s="14"/>
      <c r="K64" s="32"/>
      <c r="L64" s="32"/>
      <c r="M64" s="33"/>
      <c r="N64" s="33"/>
    </row>
  </sheetData>
  <mergeCells count="11">
    <mergeCell ref="A3:M3"/>
    <mergeCell ref="A6:M6"/>
    <mergeCell ref="A52:J52"/>
    <mergeCell ref="A53:R53"/>
    <mergeCell ref="A54:J54"/>
    <mergeCell ref="B59:D59"/>
    <mergeCell ref="B62:D62"/>
    <mergeCell ref="K62:L62"/>
    <mergeCell ref="B63:F63"/>
    <mergeCell ref="I63:N63"/>
    <mergeCell ref="A4:M5"/>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AULA</vt:lpstr>
      <vt:lpstr>TALLER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AFC1</dc:creator>
  <cp:lastModifiedBy>FAMILIA</cp:lastModifiedBy>
  <dcterms:created xsi:type="dcterms:W3CDTF">2025-12-24T17:46:00Z</dcterms:created>
  <cp:lastPrinted>2025-12-26T12:47:00Z</cp:lastPrinted>
  <dcterms:modified xsi:type="dcterms:W3CDTF">2025-12-28T13:17:24Z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E6F166E83C8B4A22A38FB981C35928FC_13</vt:lpwstr>
  </property>
  <property fmtid="{D5CDD505-2E9C-101B-9397-08002B2CF9AE}" pid="3" name="KSOProductBuildVer">
    <vt:lpwstr>3082-12.2.0.23155</vt:lpwstr>
  </property>
</Properties>
</file>